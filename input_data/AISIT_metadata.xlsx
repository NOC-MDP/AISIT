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https://nercacuk-my.sharepoint.com/personal/charles_thorpe-morgan_bas_ac_uk/Documents/Documents/AISIT DATA/databases/database_current/"/>
    </mc:Choice>
  </mc:AlternateContent>
  <xr:revisionPtr revIDLastSave="0" documentId="8_{14F59880-3F83-42B4-B0D3-E6FAA34ACEBE}" xr6:coauthVersionLast="47" xr6:coauthVersionMax="47" xr10:uidLastSave="{00000000-0000-0000-0000-000000000000}"/>
  <bookViews>
    <workbookView xWindow="-96" yWindow="-96" windowWidth="23232" windowHeight="12432" firstSheet="2" activeTab="2" xr2:uid="{00000000-000D-0000-FFFF-FFFF00000000}"/>
  </bookViews>
  <sheets>
    <sheet name="Data_Fields" sheetId="1" r:id="rId1"/>
    <sheet name="Dataset" sheetId="2" r:id="rId2"/>
    <sheet name="Database_Schema" sheetId="3" r:id="rId3"/>
  </sheets>
  <calcPr calcId="191028"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2" l="1"/>
</calcChain>
</file>

<file path=xl/sharedStrings.xml><?xml version="1.0" encoding="utf-8"?>
<sst xmlns="http://schemas.openxmlformats.org/spreadsheetml/2006/main" count="735" uniqueCount="462">
  <si>
    <t>Dataset</t>
  </si>
  <si>
    <t>Dataset Entries</t>
  </si>
  <si>
    <t>Date_Range</t>
  </si>
  <si>
    <t>Location Type</t>
  </si>
  <si>
    <t>Geographic Area</t>
  </si>
  <si>
    <t xml:space="preserve">Database </t>
  </si>
  <si>
    <t>Fair Use Statement</t>
  </si>
  <si>
    <t>License</t>
  </si>
  <si>
    <t>Version</t>
  </si>
  <si>
    <t>Access Date</t>
  </si>
  <si>
    <t>DOI</t>
  </si>
  <si>
    <t>Freshwater Data Points</t>
  </si>
  <si>
    <t>Land Based Data Points</t>
  </si>
  <si>
    <t>Cruise Report</t>
  </si>
  <si>
    <t>Cite As</t>
  </si>
  <si>
    <t>Additional Information</t>
  </si>
  <si>
    <t>06ARKIX_4</t>
  </si>
  <si>
    <t>12/08/1993-21/09/1993</t>
  </si>
  <si>
    <t>Sea</t>
  </si>
  <si>
    <t>Arctic Ocean, Kara Sea, Laptev Sea</t>
  </si>
  <si>
    <t>NCEI PD-10-2-02 - Open Data Policy</t>
  </si>
  <si>
    <t>CC0</t>
  </si>
  <si>
    <t>https://doi.org/10.3334/cdiac/otg.carina_06aq19930806</t>
  </si>
  <si>
    <t>Futterer, DK. (1994). Die Expedition ARCTIC 93, der Fahrtabschnitt ARK-IX/4 mit FS Polarstern 1993 (The Expedition ARCTIC 93 Leg ARK-IX/4 of RV Polarstern 1993), Berichte zur Polarforschung = Reports on polar research, 149, 244 pp.</t>
  </si>
  <si>
    <t>Anderson, Leif G.; Fütterer, Dieter K. (2013). Dissolved inorganic carbon, temperature, salinity and other variables collected from discrete sample and profile observations using CTD, bottle and other instruments from the POLARSTERN in the Arctic Ocean, Kara Sea and Laptev (or Nordenskjold) Sea from 1993-08-06 to 1993-10-05 (NCEI Accession 0113593). [indicate subset used]. NOAA National Centers for Environmental Information. Dataset. https://doi.org/10.3334/cdiac/otg.carina_06aq19930806. Accessed [date].</t>
  </si>
  <si>
    <t>ARKXXII_2</t>
  </si>
  <si>
    <t>30/07/2007-24/09/2007</t>
  </si>
  <si>
    <t>Arctic Ocean, Barents Sea, Laptev Sea</t>
  </si>
  <si>
    <t>https://doi.org/10.3334/cdiac/otg.clivar_arkxxii_2</t>
  </si>
  <si>
    <t>https://www.bodc.ac.uk/resources/inventories/cruise_inventory/reports/polarstern_arkxxii2_07.pdf</t>
  </si>
  <si>
    <t>van Heuven, Steven M. A. C.; Ober, Sven; Schauer, Ursula (2013). Dissolved inorganic carbon, alkalinity, temperature, salinity and other variables collected from discrete sample and profile observations using Alkalinity titrator, CTD and other instruments from the POLARSTERN in the Arctic Ocean, Barents Sea and Laptev (or Nordenskjold) Sea from 2007-07-28 to 2007-10-10 (NCEI Accession 0109899). [indicate subset used]. NOAA National Centers for Environmental Information. Dataset. https://doi.org/10.3334/cdiac/otg.clivar_arkxxii_2. Accessed [date].</t>
  </si>
  <si>
    <t>ARK_IV_3</t>
  </si>
  <si>
    <t>07/07/1987-04/08/1987</t>
  </si>
  <si>
    <t>Eastern Arctic</t>
  </si>
  <si>
    <t>https://doi.org/10.3334/cdiac/otg.06aq19870704_ark_iv_3</t>
  </si>
  <si>
    <t>https://epic.awi.de/id/eprint/26220/1/BerPolarforsch198843.pdf</t>
  </si>
  <si>
    <t>Anderson, Leif G.; Thiede, Jörn (2013). Dissolved inorganic carbon, temperature, salinity and other variables collected from discrete sample and profile observations using CTD, bottle and other instruments from the POLARSTERN in the Arctic Ocean and North Greenland Sea from 1987-07-04 to 1987-09-02 (NCEI Accession 0113916). [indicate subset used]. NOAA National Centers for Environmental Information. Dataset. https://doi.org/10.3334/cdiac/otg.06aq19870704_ark_iv_3. Accessed [date].</t>
  </si>
  <si>
    <t>Alpha_Helix</t>
  </si>
  <si>
    <t>13/08/1983-10/09/1989</t>
  </si>
  <si>
    <t>Bering, Chukchi, Beaufort, and East Siberian Seas</t>
  </si>
  <si>
    <t>https://www.ncei.noaa.gov/access/metadata/landing-page/bin/iso?id=gov.noaa.nodc:0068667</t>
  </si>
  <si>
    <t>Cooper, Lee W.; Chesapeake Biological Laboratory (2015). Chemical and isotopic tracers and other data from the Arctic Ocean from 1990-01-01 to 1999-12-31 (NCEI Accession 0068667). [indicate subset used]. NOAA National Centers for Environmental Information. Dataset. https://www.ncei.noaa.gov/archive/accession/0068667. Accessed [date].</t>
  </si>
  <si>
    <t>ArcticGRO</t>
  </si>
  <si>
    <t>18/06/2003-13/06/2024</t>
  </si>
  <si>
    <t>River</t>
  </si>
  <si>
    <t>Yenisey River, lena River, Ob' River, Mackenzie River, Yukon River, Kolyma River</t>
  </si>
  <si>
    <t>"ArcticGRO data are free to use by anyone for any purpose.  We only ask that you credit ArcticGRO so that we can track data use."</t>
  </si>
  <si>
    <t>Online Database</t>
  </si>
  <si>
    <t>http://www.arcticgreatrivers.org/data</t>
  </si>
  <si>
    <t>The Arctic Great Rivers Observatory. 2024. Water Quality Dataset, Version YYYYMMDD. https://www.arcticgreatrivers.org/data</t>
  </si>
  <si>
    <t>ArcticNet</t>
  </si>
  <si>
    <t>09/06/2016-23/08/2016</t>
  </si>
  <si>
    <t>West Greenland</t>
  </si>
  <si>
    <t>https://doi.org/10.25921/719e-qr37</t>
  </si>
  <si>
    <t>Miller, Lisa A.; Davelaar, Marty; Caleb, Danielle; Mucci, Alfonso; Burgers, Tonya M.; Ahmed, Mohamed; Irish, Vickie (2020). Dissolved inorganic carbon (DIC), total alkalinity, stable oxygen isotope (O-18), temperature, salinity, dissolved oxygen and other parameters measured from discrete samples and profile observations during the Canadian Coast Guard Ship Amundsen ArcticNet cruise (EXPOCODE 18DL20160603, Leg 1 and Leg 2) in the Eastern Canadian Arctic, Baffin Bay, Nares Strait, Lancaster Sound, Barrow Strait and Coronation Gulf from 2016-06-03 to 2016-08-23 (NCEI Accession 0217304). [indicate subset used]. NOAA National Centers for Environmental Information. Dataset. https://doi.org/10.25921/719e-qr37. Accessed [date].</t>
  </si>
  <si>
    <t>CARINA/32H120020505</t>
  </si>
  <si>
    <t>10/05/2002-12/06/2002</t>
  </si>
  <si>
    <t>Arctic Ocean, Beaufort Sea, Bering Sea</t>
  </si>
  <si>
    <t>https://doi.org/10.3334/cdiac/otg.carina_32h120020505</t>
  </si>
  <si>
    <t>Bates, Nicholas; Grebmeier, Jacqueline M.; Cooper, Lee W. (2013). Dissolved inorganic carbon, alkalinity, temperature, salinity and other variables collected from discrete sample and profile observations using CTD, PAR Sensor and other instruments from HEALY in the Arctic Ocean, Beaufort Sea and Bering Sea from 2002-05-05 to 2002-06-15 (NCEI Accession 0113952). [indicate subset used]. NOAA National Centers for Environmental Information. Dataset. https://doi.org/10.3334/cdiac/otg.carina_32h120020505. Accessed [date].</t>
  </si>
  <si>
    <t>CARINA/58AA20000923</t>
  </si>
  <si>
    <t>23/09/2000-03/10/2000</t>
  </si>
  <si>
    <t>Barents Sea</t>
  </si>
  <si>
    <t>https://doi.org/10.3334/cdiac/otg.carina_58aa20000923</t>
  </si>
  <si>
    <t>Omar, Abdirahman M.; Østerhus, Svein (2013). Dissolved inorganic carbon, alkalinity, temperature, salinity and other variables collected from discrete sample and profile observations using CTD, bottle and other instruments from the HAAKON MOSBY in the Barents Sea from 2000-09-23 to 2000-10-03 (NCEI Accession 0113886). [indicate subset used]. NOAA National Centers for Environmental Information. Dataset. https://doi.org/10.3334/cdiac/otg.carina_58aa20000923. Accessed [date].</t>
  </si>
  <si>
    <t>CARINA/77DN19910726</t>
  </si>
  <si>
    <t>17/08/1991-03/10/1991</t>
  </si>
  <si>
    <t>Arctic Ocean</t>
  </si>
  <si>
    <t>https://doi.org/10.3334/cdiac/otg.carina_77dn19910726</t>
  </si>
  <si>
    <t>Anderson, Leif G.; Hellsvik, Jan-Erik (2013). Dissolved inorganic carbon, alkalinity, temperature, salinity and other variables collected from discrete sample and profile observations using CTD, bottle and other instruments from ODEN in the Arctic Ocean from 1991-07-26 to 1991-09-03 (NCEI Accession 0113591). [indicate subset used]. NOAA National Centers for Environmental Information. Dataset. https://doi.org/10.3334/cdiac/otg.carina_77dn19910726. Accessed [date].</t>
  </si>
  <si>
    <t>CARINA/77YM19800811</t>
  </si>
  <si>
    <t>14/08/1980-22/09/1980</t>
  </si>
  <si>
    <t>Arctic Ocean, Barents Sea, North Greenland Sea</t>
  </si>
  <si>
    <t>https://doi.org/10.3334/cdiac/otg.carina_77ym19800811</t>
  </si>
  <si>
    <t>Anderson, Leif G. (2013). Temperature, salinity and other variables collected from discrete sample and profile observations using CTD, bottle and other instruments from the YMER in the Arctic Ocean, Barents Sea and North Greenland Sea from 1980-08-11 to 1980-09-19 (NCEI Accession 0113607). [indicate subset used]. NOAA National Centers for Environmental Information. Dataset. https://doi.org/10.3334/cdiac/otg.carina_77ym19800811. Accessed [date].</t>
  </si>
  <si>
    <t>CHARS-2019</t>
  </si>
  <si>
    <t>04/07/2019-06/07/2019</t>
  </si>
  <si>
    <t>Arctic Canada</t>
  </si>
  <si>
    <t>Sent by Kate, unpublished</t>
  </si>
  <si>
    <t>Unpublished</t>
  </si>
  <si>
    <t>DEHEAT</t>
  </si>
  <si>
    <t>26/06/2023-09/07/2023</t>
  </si>
  <si>
    <t>Iceland</t>
  </si>
  <si>
    <t>DY081-CTD</t>
  </si>
  <si>
    <t>07/07/2017-31/07/2017</t>
  </si>
  <si>
    <t>Labrador Sea (Davis Strait)</t>
  </si>
  <si>
    <t>CC-BY-4.0</t>
  </si>
  <si>
    <t>N/A</t>
  </si>
  <si>
    <t>https://doi.org/10.1594/PANGAEA.896543</t>
  </si>
  <si>
    <t>https://download.pangaea.de/reference/97016/attachments/dy081.pdf</t>
  </si>
  <si>
    <t>Hendry, Katharine R (2018): North Atlantic seawater bottle data collected from CTD during RRS Discovery cruise DY081 [dataset]. PANGAEA, https://doi.org/10.1594/PANGAEA.896543, In supplement to: Hendry, Katharine R; Huvenne, Veerle A I; Robinson, Laura F; Annett, Amber; Badger, Marcus P S; Jacobel, Allison W; Ng, Hong Chin; Opher, Jacob; Pickering, Rebecca A; Taylor, Michelle L; Bates, Stephanie L; Cooper, Adam; Cushman, Grace G; Goodwin, Claire; Hoy, Shannon Kelsey; Rowland, George Henry; Samperiz, Ana; Williams, James A; Achterberg, Eric Pieter; Arrowsmith, Carol; Brearley, J Alexander; Henley, Sian Frances; Krause, Jeffrey W; Leng, Melanie J; Li, Tao; McManus, Jerry F; Meredith, Michael P; Perkins, Rupert; Woodward, E Malcolm S (2019): The biogeochemical impact of glacial meltwater from Southwest Greenland. Progress in Oceanography, 176, 102126, https://doi.org/10.1016/j.pocean.2019.102126</t>
  </si>
  <si>
    <t>https://store.pangaea.de/Publications/Hendry_2018_DY081/DY081_Bot_Data_Documentation.pdf</t>
  </si>
  <si>
    <t>DY081-FSH</t>
  </si>
  <si>
    <t>25/07/2017-30/07/2017</t>
  </si>
  <si>
    <t>https://doi.pangaea.de/10.1594/PANGAEA.896539</t>
  </si>
  <si>
    <t>Hendry, Katharine R (2018): North Atlantic seawater bottle data collected from Tow fish during RRS Discovery cruise DY081 [dataset]. PANGAEA, https://doi.org/10.1594/PANGAEA.896539, In supplement to: Hendry, Katharine R; Huvenne, Veerle A I; Robinson, Laura F; Annett, Amber; Badger, Marcus P S; Jacobel, Allison W; Ng, Hong Chin; Opher, Jacob; Pickering, Rebecca A; Taylor, Michelle L; Bates, Stephanie L; Cooper, Adam; Cushman, Grace G; Goodwin, Claire; Hoy, Shannon Kelsey; Rowland, George Henry; Samperiz, Ana; Williams, James A; Achterberg, Eric Pieter; Arrowsmith, Carol; Brearley, J Alexander; Henley, Sian Frances; Krause, Jeffrey W; Leng, Melanie J; Li, Tao; McManus, Jerry F; Meredith, Michael P; Perkins, Rupert; Woodward, E Malcolm S (2019): The biogeochemical impact of glacial meltwater from Southwest Greenland. Progress in Oceanography, 176, 102126, https://doi.org/10.1016/j.pocean.2019.102126</t>
  </si>
  <si>
    <t>DY081-ROV</t>
  </si>
  <si>
    <t>09/07/2017-20/07/2017</t>
  </si>
  <si>
    <t>https://doi.pangaea.de/10.1594/PANGAEA.896540</t>
  </si>
  <si>
    <t>Hendry, Katharine R (2018): North Atlantic seawater bottle data collected from ROV during RRS Discovery cruise DY081 [dataset]. PANGAEA, https://doi.org/10.1594/PANGAEA.896540, In supplement to: Hendry, Katharine R; Huvenne, Veerle A I; Robinson, Laura F; Annett, Amber; Badger, Marcus P S; Jacobel, Allison W; Ng, Hong Chin; Opher, Jacob; Pickering, Rebecca A; Taylor, Michelle L; Bates, Stephanie L; Cooper, Adam; Cushman, Grace G; Goodwin, Claire; Hoy, Shannon Kelsey; Rowland, George Henry; Samperiz, Ana; Williams, James A; Achterberg, Eric Pieter; Arrowsmith, Carol; Brearley, J Alexander; Henley, Sian Frances; Krause, Jeffrey W; Leng, Melanie J; Li, Tao; McManus, Jerry F; Meredith, Michael P; Perkins, Rupert; Woodward, E Malcolm S (2019): The biogeochemical impact of glacial meltwater from Southwest Greenland. Progress in Oceanography, 176, 102126, https://doi.org/10.1016/j.pocean.2019.102126</t>
  </si>
  <si>
    <t>DavisStrait_2022</t>
  </si>
  <si>
    <t>03/10/2022-22/10/2022</t>
  </si>
  <si>
    <t>Davis Strait</t>
  </si>
  <si>
    <t xml:space="preserve">Permission given in private communication </t>
  </si>
  <si>
    <t>Sent by Kumiko Azetsu-Scott</t>
  </si>
  <si>
    <t>https://iop.apl.washington.edu/assets/reports/DavisStrait2022_CruiseReport.pdf</t>
  </si>
  <si>
    <t>GISS_O18_data_N_of_45N</t>
  </si>
  <si>
    <t>01/12/1967-01/10/2008</t>
  </si>
  <si>
    <t>Arctic Ocean, Novaya Zemlya, Barents Sea, Kara Sea, Chukchi Sea, East Greenland, Laptev Sea, Sea of Okhotsk, Baltic Sea, Greenland Sea, North Sea, Bering Strait, E Siberian Sea, Bering Sea, Gulf of Alaska, Beaufort Sea, E Greenland Coast, S of Greenland, Baffin Bay, Davis Strait, Arctic, East Siberian Sea, Beauford Sea, N Beaufort Sea, Canadian Islands, North Pole, E Greenland Fjords, White Sea, Svalbard, Canadian fjords and rivers</t>
  </si>
  <si>
    <t>You are free to download the whole database “for your own research” Please cite Schmidt et al. (1999) with version number.</t>
  </si>
  <si>
    <t>https://data.giss.nasa.gov/o18data/</t>
  </si>
  <si>
    <t>Schmidt, G.A., G. R. Bigg and E. J. Rohling. 1999. "Global Seawater Oxygen-18 Database - v1.22" https://data.giss.nasa.gov/o18data/</t>
  </si>
  <si>
    <t>GNIP</t>
  </si>
  <si>
    <t>15/01/1961-15/12/2022</t>
  </si>
  <si>
    <t>Precipitation</t>
  </si>
  <si>
    <t>Iceland, Greenland, Siberia, North America, Scandinavia</t>
  </si>
  <si>
    <t>https://nucleus.iaea.org/wiser</t>
  </si>
  <si>
    <r>
      <t xml:space="preserve">International Atomic Energy Agency (IAEA). (year accessed). </t>
    </r>
    <r>
      <rPr>
        <i/>
        <sz val="11"/>
        <color theme="1"/>
        <rFont val="Calibri"/>
        <family val="2"/>
        <scheme val="minor"/>
      </rPr>
      <t>Global Network of Isotopes in Precipitation (GNIP) Database</t>
    </r>
    <r>
      <rPr>
        <sz val="11"/>
        <color theme="1"/>
        <rFont val="Calibri"/>
        <family val="2"/>
        <scheme val="minor"/>
      </rPr>
      <t>. IAEA/WMO. Available via the Water Isotope System for Electronic Retrieval (WISER).</t>
    </r>
  </si>
  <si>
    <t>GNIR</t>
  </si>
  <si>
    <t>15/01/1973-16/05/2021</t>
  </si>
  <si>
    <t>Alaska</t>
  </si>
  <si>
    <r>
      <t xml:space="preserve">International Atomic Energy Agency (IAEA). (year accessed). </t>
    </r>
    <r>
      <rPr>
        <i/>
        <sz val="11"/>
        <color theme="1"/>
        <rFont val="Calibri"/>
        <family val="2"/>
        <scheme val="minor"/>
      </rPr>
      <t>Global Network of Isotopes in Rivers (GNIR) Database</t>
    </r>
    <r>
      <rPr>
        <sz val="11"/>
        <color theme="1"/>
        <rFont val="Calibri"/>
        <family val="2"/>
        <scheme val="minor"/>
      </rPr>
      <t>. IAEA. Available via the Water Isotope System for Electronic Retrieval (WISER).</t>
    </r>
  </si>
  <si>
    <t>HLY_02_03</t>
  </si>
  <si>
    <t>18/07/2002-19/08/2002</t>
  </si>
  <si>
    <t>Chukchi and Beaufort Sea</t>
  </si>
  <si>
    <t>https://doi.org/10.3334/cdiac/otg.carina_32h120020718</t>
  </si>
  <si>
    <t>Bates, Nicholas; Grebmeier, Jacqueline M.; Cooper, Lee W. (2013). Dissolved inorganic carbon, alkalinity, temperature, salinity and other variables collected from discrete sample and profile observations using CTD, bottle and other instruments from HEALY in the Arctic Ocean, Beaufort Sea and Bering Sea from 2002-07-18 to 2002-08-21 (NCEI Accession 0113953). [indicate subset used]. NOAA National Centers for Environmental Information. Dataset. https://doi.org/10.3334/cdiac/otg.carina_32h120020718. Accessed [date].</t>
  </si>
  <si>
    <t>HLY_0301</t>
  </si>
  <si>
    <t>26/07/2003-11/08/2003</t>
  </si>
  <si>
    <t>Baffin Bay</t>
  </si>
  <si>
    <t>https://doi.org/10.3334/cdiac/otg.32h120030721</t>
  </si>
  <si>
    <t>Azetsu-Scott, Kumiko; Falkner, Kelly K. (2013). Dissolved inorganic carbon, alkalinity, temperature, salinity and other variables collected from discrete sample and profile observations using CTD, bottle and other instruments from the HEALY in the Baffin Bay and Lincoln Sea from 2003-07-21 to 2003-08-16 (NCEI Accession 0113909). [indicate subset used]. NOAA National Centers for Environmental Information. Dataset. https://doi.org/10.3334/cdiac/otg.32h120030721. Accessed [date].</t>
  </si>
  <si>
    <t>Helmer_Hansen</t>
  </si>
  <si>
    <t>08/08/2012-13/08/2012</t>
  </si>
  <si>
    <t>https://doi.org/10.25921/350g-0y60</t>
  </si>
  <si>
    <t>Olsen, Are; Skagseth, Øystein; Lunde, Linda Fonnes; Petersen, Marianne (2018). Dissolved inorganic carbon, total alkalinity, oxygen, temperature, salinity, nutrients and other parameters collected from profile and discrete sample observations from R/V Helmer Hansen cruise (EXPOCODE 58HJ20120807) in the Arctic Ocean from 2012-08-07 to 2012-08-17 (NCEI Accession 0176290). [indicate subset used]. NOAA National Centers for Environmental Information. Dataset. https://doi.org/10.25921/350g-0y60. Accessed [date].</t>
  </si>
  <si>
    <t>Hudson_2005</t>
  </si>
  <si>
    <t>05/09/2005-15/09/2005</t>
  </si>
  <si>
    <t>https://doi.org/10.7289/v5df6pj1</t>
  </si>
  <si>
    <t>Azetsu-Scott, Kumiko; Petrie, Brian; Lee, Craig M. (2018). Carbon dioxide, hydrographic and chemical data collected from profile discrete samples during the R/V Hudson cruise (EXPOCODE 18HU20050904) in Davis Strait from 2005-09-04 to 2005-09-22 (NCEI Accession 0173090). [indicate subset used]. NOAA National Centers for Environmental Information. Dataset. https://doi.org/10.7289/v5df6pj1. Accessed [date].</t>
  </si>
  <si>
    <t>GEOTRACES 2021v2</t>
  </si>
  <si>
    <t>Davis Strait, Beaufort Sea, Barents Sea, Laptev Sea</t>
  </si>
  <si>
    <t>https://www.geotraces.org/wp-content/uploads/2023/09/Fair_Data_Use_Statement-for-IDP2021v2.pdf</t>
  </si>
  <si>
    <t>https://doi.org/10.5285/42c92148-8d03-8be6-e063-7086abc09f0c</t>
  </si>
  <si>
    <t>GEOTRACES Intermediate Data Product Group(2025). The GEOTRACES Intermediate Data Product 2025 (IDP2025). NERC EDS British Oceanographic Data Centre NOC. doi:10.5285/42c92148-8d03-8be6-e063-7086abc09f0c</t>
  </si>
  <si>
    <t>JOIS_2004</t>
  </si>
  <si>
    <t>05/08/2004-29/08/2004</t>
  </si>
  <si>
    <t>Canadian archepelago</t>
  </si>
  <si>
    <t>https://doi.org/10.25921/vwsp-x287</t>
  </si>
  <si>
    <t>Zimmermann, Sarah; Williams, William J. (2021). Water temperature, salinity, dissolved oxygen, nutrients and other hydrographic and chemical data collected from discrete samples and profile observations during the CCGS Louis S. St-Laurent Joint Ocean Ice Study (JOIS-04) cruise (EXPOCODE 18SN20040725) in the Arctic Ocean, Beaufort Sea and Northwestern Passages from 2004-07-25 to 2004-09-02 (NCEI Accession 0232545). [indicate subset used]. NOAA National Centers for Environmental Information. Dataset. https://doi.org/10.25921/vwsp-x287. Accessed [date].</t>
  </si>
  <si>
    <t>JOIS_2010</t>
  </si>
  <si>
    <t>17/09/2010-14/10/2010</t>
  </si>
  <si>
    <t>Canada Basin</t>
  </si>
  <si>
    <t>https://doi.org/10.25921/w3rp-tx17</t>
  </si>
  <si>
    <t>https://www2.whoi.edu/site/beaufortgyre/expeditions/2010-expedition/</t>
  </si>
  <si>
    <t>Williams, William J.; Zimmermann, Sarah; Eert, Jane (2021). Dissolved inorganic carbon (DIC), total alkalinity, water temperature, salinity, dissolved oxygen, nutrients and other hydrographic and chemical data collected from discrete samples and profile observations during the CCGS Louis S. St-Laurent Joint Ocean Ice Study (JOIS-10) cruise (EXPOCODE 18SN20100915) in the Arctic Ocean from 2010-09-15 to 2010-10-15 (NCEI Accession 0232263). [indicate subset used]. NOAA National Centers for Environmental Information. Dataset. https://doi.org/10.25921/w3rp-tx17. Accessed [date].</t>
  </si>
  <si>
    <t>JOIS_2011</t>
  </si>
  <si>
    <t>23/07/2011-14/08/2011</t>
  </si>
  <si>
    <t>https://doi.org/10.25921/y1cw-db38</t>
  </si>
  <si>
    <t>https://www2.whoi.edu/site/beaufortgyre/expeditions/2011-expedition/</t>
  </si>
  <si>
    <t>Williams, William J.; Zimmermann, Sarah (2021). Dissolved inorganic carbon (DIC), total alkalinity, pH on total scale, water temperature, salinity, dissolved oxygen, nutrients and other hydrographic and chemical data collected from discrete samples and profile observations during the CCGS Louis S. St-Laurent Joint Ocean Ice Study (JOIS-11) cruise (EXPOCODE 18SN20110721) in the Arctic Ocean from 2011-07-21 to 2011-08-18 (NCEI Accession 0232544). [indicate subset used]. NOAA National Centers for Environmental Information. Dataset. https://doi.org/10.25921/y1cw-db38. Accessed [date].</t>
  </si>
  <si>
    <t>JOIS_2012</t>
  </si>
  <si>
    <t>05/08/2012-29/08/2012</t>
  </si>
  <si>
    <t>https://doi.org/10.25921/c5kx-sm59</t>
  </si>
  <si>
    <t>https://www2.whoi.edu/site/beaufortgyre/expeditions/2012-expedition/</t>
  </si>
  <si>
    <t>Zimmermann, Sarah; Williams, William J. (2021). Dissolved inorganic carbon (DIC), total alkalinity, water temperature, salinity, dissolved oxygen, nutrients and other hydrographic and chemical data collected from discrete samples and profile observations during the CCGS Louis S. St-Laurent Joint Ocean Ice Study (JOIS-12) cruise (EXPOCODE 18SN20120802) in the Arctic Ocean from 2012-08-02 to 2012-08-30 (NCEI Accession 0232546). [indicate subset used]. NOAA National Centers for Environmental Information. Dataset. https://doi.org/10.25921/c5kx-sm59. Accessed [date].</t>
  </si>
  <si>
    <t>JOIS_2013</t>
  </si>
  <si>
    <t>04/08/2013-30/08/2013</t>
  </si>
  <si>
    <t>Arctic Ocean, Beaufort Sea, Davis Strait, Northwestern Passages</t>
  </si>
  <si>
    <t>https://doi.org/10.25921/7r17-4q18</t>
  </si>
  <si>
    <t>https://www2.whoi.edu/site/beaufortgyre/expeditions/2013-expedition/</t>
  </si>
  <si>
    <t>Williams, William J.; Zimmermann, Sarah (2021). Dissolved inorganic carbon (DIC), total alkalinity, water temperature, salinity, dissolved oxygen, nutrients and other hydrographic and chemical data collected from discrete samples and profile observations during the CCGS Louis S. St-Laurent Joint Ocean Ice Study (JOIS-13) cruise (EXPOCODE 18SN20130724) in the Arctic Ocean, Beaufort Sea, Davis Strait and Northwestern Passages from 2013-07-24 to 2013-09-02 (NCEI Accession 0232550). [indicate subset used]. NOAA National Centers for Environmental Information. Dataset. https://doi.org/10.25921/7r17-4q18. Accessed [date].</t>
  </si>
  <si>
    <t>JOIS_2014</t>
  </si>
  <si>
    <t>23/09/2014-14/10/2014</t>
  </si>
  <si>
    <t>Arctic Ocean, Beaufort Sea</t>
  </si>
  <si>
    <t>https://doi.org/10.25921/jkqw-ya62</t>
  </si>
  <si>
    <t>https://www2.whoi.edu/site/beaufortgyre/expeditions/2014-expedition/</t>
  </si>
  <si>
    <t>Williams, William J.; Zimmermann, Sarah (2021). Dissolved inorganic carbon (DIC), total alkalinity, water temperature, salinity, dissolved oxygen, nutrients and other hydrographic and chemical data collected from discrete samples and profile observations during the CCGS Louis S. St-Laurent Joint Ocean Ice Study (JOIS-14) cruise (EXPOCODE 18SN20140921) in the Arctic Ocean, Beaufort Sea from 2014-09-21 to 2014-10-17 (NCEI Accession 0232551). [indicate subset used]. NOAA National Centers for Environmental Information. Dataset. https://doi.org/10.25921/jkqw-ya62. Accessed [date].</t>
  </si>
  <si>
    <t>JOIS_2015</t>
  </si>
  <si>
    <t>21/09/2015-14/10/2015</t>
  </si>
  <si>
    <t>https://doi.org/10.25921/c35k-0h70</t>
  </si>
  <si>
    <t>Williams, William J.; Zimmermann, Sarah; Quesnel, Sarah-Ann (2019). Dissolved inorganic carbon (DIC), total alkalinity and other hydrographic and chemical data collected from discrete samples and profile observations during the CCGS Louis S. St-Laurent IOS Cruise 2015-06 (EXPOCODE 18SN20150920) in the Arctic Ocean from 2015-09-20 to 2015-10-16 (NCEI Accession 0191303). [indicate subset used]. NOAA National Centers for Environmental Information. Dataset. https://doi.org/10.25921/c35k-0h70. Accessed [date].</t>
  </si>
  <si>
    <t>JOIS_2016</t>
  </si>
  <si>
    <t>23/09/2016-15/10/2016</t>
  </si>
  <si>
    <t>https://doi.org/10.25921/jy88-9n09</t>
  </si>
  <si>
    <t>https://www2.whoi.edu/site/beaufortgyre/expeditions/2016-expedition/</t>
  </si>
  <si>
    <t>Williams, William J.; Zimmermann, Sarah (2021). Dissolved inorganic carbon (DIC), total alkalinity, water temperature, salinity, dissolved oxygen, nutrients and other hydrographic and chemical data collected from discrete samples and profile observations during the CCGS Louis S. St-Laurent Joint Ocean Ice Study (JOIS-16) cruise (EXPOCODE 18SN20160922) in the Arctic Ocean, Beaufort Sea from 2016-09-22 to 2016-10-18 (NCEI Accession 0232552). [indicate subset used]. NOAA National Centers for Environmental Information. Dataset. https://doi.org/10.25921/jy88-9n09. Accessed [date].</t>
  </si>
  <si>
    <t>KN179_05</t>
  </si>
  <si>
    <t>23/09/2004-28/09/2004</t>
  </si>
  <si>
    <t>https://doi.org/10.7289/v5j67f79</t>
  </si>
  <si>
    <t>Azetsu-Scott, Kumiko; Petrie, Brian; Lee, Craig M. (2018). Carbon dioxide, hydrographic and chemical data collected from profile discrete samples during the R/V Knorr cruise (EXPOCODE 316N20040922) in Davis Strait from 2004-09-22 to 2004-10-04 (NCEI Accession 0173089). [indicate subset used]. NOAA National Centers for Environmental Information. Dataset. https://doi.org/10.7289/v5j67f79. Accessed [date].</t>
  </si>
  <si>
    <t>KQ18</t>
  </si>
  <si>
    <t>05/07/2018-09/07/2018</t>
  </si>
  <si>
    <t>Fjord</t>
  </si>
  <si>
    <t>Godhäbsfjord and Ameralik Fjord, SW Greenland</t>
  </si>
  <si>
    <t>https://doi.org/10.1594/PANGAEA.930217</t>
  </si>
  <si>
    <t>https://download.pangaea.de/reference/107897/attachments/KQ2018-Expedition-Report.pdf</t>
  </si>
  <si>
    <t>Hatton, Jade Elizabeth; Ng, Hong Chin; Beaton, Alexander; Hawkings, Jonathan; Leng, Melanie J; Meire, Lorenz; Sumaria, Prina; Ward, Rachael; Woodward, E Malcolm S; Stuart-Lee, Alice; Hendry, Katharine R (2023): Hydrographic and biogeochemical data from Godhäbsfjord and Ameralik Fjord, SW Greenland, 2018-2019 [dataset]. PANGAEA, https://doi.org/10.1594/PANGAEA.930217</t>
  </si>
  <si>
    <t>TU19</t>
  </si>
  <si>
    <t>11/09/2019-16/09/2019</t>
  </si>
  <si>
    <t>https://download.pangaea.de/reference/107898/attachments/TU2019-Expedition_Report.pdf</t>
  </si>
  <si>
    <t>Knorr_2006</t>
  </si>
  <si>
    <t>02/10/2006-03/10/2006</t>
  </si>
  <si>
    <t>https://doi.org/10.7289/v5v1233j</t>
  </si>
  <si>
    <t>Azetsu-Scott, Kumiko; Petrie, Brian; Lee, Craig M. (2018). Carbon dioxide, hydrographic and chemical data collected from profile discrete samples during the R/V Knorr cruise KN (EXPOCODE 316N20061001) in Davis Strait from 2006-10-01 to 2006-10-04 (NCEI Accession 0173247). [indicate subset used]. NOAA National Centers for Environmental Information. Dataset. https://doi.org/10.7289/v5v1233j. Accessed [date].</t>
  </si>
  <si>
    <t>Knorr_2007</t>
  </si>
  <si>
    <t>05/10/2007-19/10/2007</t>
  </si>
  <si>
    <t>https://doi.org/10.7289/v5zs2tt5</t>
  </si>
  <si>
    <t>Azetsu-Scott, Kumiko; Petrie, Brian; Lee, Craig M. (2018). Carbon dioxide, hydrographic and chemical data collected from profile discrete samples during the R/V Knorr cruise (EXPOCODE 316N20071003) in Davis Strait from 2007-10-03 to 2007-10-21 (NCEI Accession 0173248). [indicate subset used]. NOAA National Centers for Environmental Information. Dataset. https://doi.org/10.7289/v5zs2tt5. Accessed [date].</t>
  </si>
  <si>
    <t>Knorr_2008</t>
  </si>
  <si>
    <t>03/09/2008-12/09/2008</t>
  </si>
  <si>
    <t>https://doi.org/10.7289/v53j3b9v</t>
  </si>
  <si>
    <t>Azetsu-Scott, Kumiko; Petrie, Brian; Lee, Craig M. (2018). Carbon dioxide, hydrographic and chemical data collected from profile discrete samples during the R/V Knorr cruise (EXPOCODE 316N20080901) in Davis Strait from 2008-09-01 to 2008-09-21 (NCEI Accession 0173287). [indicate subset used]. NOAA National Centers for Environmental Information. Dataset. https://doi.org/10.7289/v53j3b9v. Accessed [date].</t>
  </si>
  <si>
    <t>Knorr_2009</t>
  </si>
  <si>
    <t>07/10/2009-16/10/2009</t>
  </si>
  <si>
    <t>https://doi.org/10.7289/v5794304</t>
  </si>
  <si>
    <t>Azetsu-Scott, Kumiko; Petrie, Brian; Lee, Craig M. (2018). Carbon dioxide, hydrographic and chemical data collected from profile discrete samples during the R/V Knorr cruise (EXPOCODE 316N20091006) in Davis Strait from 2009-10-06 to 2009-10-28 (NCEI Accession 0173307). [indicate subset used]. NOAA National Centers for Environmental Information. Dataset. https://doi.org/10.7289/v5794304. Accessed [date].</t>
  </si>
  <si>
    <t>Knorr_2010</t>
  </si>
  <si>
    <t>08/09/2010-29/09/2010</t>
  </si>
  <si>
    <t>https://doi.org/10.7289/v58p5xt9</t>
  </si>
  <si>
    <t>Azetsu-Scott, Kumiko; Lee, Craig M. (2018). Carbon dioxide, hydrographic and chemical data collected from profile discrete samples during the R/V Knorr cruise (EXPOCODE 316N20100804) in Davis Strait from 2010-08-04 to 2010-09-29 (NCEI Accession 0173041). [indicate subset used]. NOAA National Centers for Environmental Information. Dataset. https://doi.org/10.7289/v58p5xt9. Accessed [date].</t>
  </si>
  <si>
    <t>Knorr_2011</t>
  </si>
  <si>
    <t>03/10/2011-21/10/2011</t>
  </si>
  <si>
    <t>https://doi.org/10.7289/v5bz64cq</t>
  </si>
  <si>
    <t>Azetsu-Scott, Kumiko; Lee, Craig M. (2018). Carbon dioxide, hydrographic and chemical data collected from profile discrete samples during the R/V Knorr cruise (EXPOCODE 316N20111002) in Davis Strait from 2011-10-02 to 2011-10-21 (NCEI Accession 0173308). [indicate subset used]. NOAA National Centers for Environmental Information. Dataset. https://doi.org/10.7289/v5bz64cq. Accessed [date].</t>
  </si>
  <si>
    <t>Knorr_2013</t>
  </si>
  <si>
    <t>15/09/2013-03/10/2013</t>
  </si>
  <si>
    <t>https://doi.org/10.25921/35kw-bx29</t>
  </si>
  <si>
    <t>Azetsu-Scott, Kumiko; Lee, Craig M.; Petrie, Brian (2018). Dissolved inorganic carbon (DIC), total alkalinity, and other parameters collected from profile discrete samples during the R/V Knorr cruise (EXPOCODE 316N20130914) in Davis Strait from 2013-09-14 to 2013-10-03 (NCEI Accession 0176494). [indicate subset used]. NOAA National Centers for Environmental Information. Dataset. https://doi.org/10.25921/35kw-bx29. Accessed [date].</t>
  </si>
  <si>
    <t>LOCEAN_Wisotopes-V5</t>
  </si>
  <si>
    <t>25/12/1993-19/05/2025</t>
  </si>
  <si>
    <t>Fram Strait, Arctic Ocean, North from Norway/Svalbard</t>
  </si>
  <si>
    <t>https://doi.org/10.17882/71186</t>
  </si>
  <si>
    <t>waterisotopes-CISE-LOCEAN (2025). Water isotopes of sea water analyzed since 1998 at LOCEAN. SEANOE. https://doi.org/10.17882/71186</t>
  </si>
  <si>
    <t>NyAlesund2023_/Fjord</t>
  </si>
  <si>
    <t>22/07/2023-27/07/2023</t>
  </si>
  <si>
    <t>Svalbard</t>
  </si>
  <si>
    <t>Sent by Kate</t>
  </si>
  <si>
    <t>NyAlesund2023/River_Transect</t>
  </si>
  <si>
    <t>11/07/2023-27/07/2023</t>
  </si>
  <si>
    <t>NyAlesund2024_130924CA</t>
  </si>
  <si>
    <t>17/07/2024-25/07/2024</t>
  </si>
  <si>
    <t>Fjord/River</t>
  </si>
  <si>
    <t>PACIFICA_32PZ20020819</t>
  </si>
  <si>
    <t>22/08/2002-21/09/2002</t>
  </si>
  <si>
    <t>https://doi.org/10.3334/cdiac/otg.pacifica_32pz20020819</t>
  </si>
  <si>
    <t>Woodgate, Rebecca A. (2014). Temperature, salinity and other variables collected from discrete sample and profile observations using CTD, bottle and other instruments from USCGC POLAR STAR in the Arctic Ocean from 2002-08-19 to 2002-09-23 (NCEI Accession 0115588). [indicate subset used]. NOAA National Centers for Environmental Information. Dataset. https://doi.org/10.3334/cdiac/otg.pacifica_32pz20020819. Accessed [date].</t>
  </si>
  <si>
    <t>PACIFICA_49NZ20020822</t>
  </si>
  <si>
    <t>04/09/2002-04/10/2002</t>
  </si>
  <si>
    <t>Arctic Ocean, Beaufort Sea, Bering Sea, Northwest Passage</t>
  </si>
  <si>
    <t>https://doi.org/10.3334/cdiac/otg.pacifica_49nz20020822</t>
  </si>
  <si>
    <t>Murata, Akihiko; Shimada, Koji (2013). Dissolved inorganic carbon, alkalinity, temperature, salinity and other variables collected from discrete sample and profile observations using CTD, Coulometer for DIC measurement and other instruments from the MIRAI in the Arctic Ocean, Beaufort Sea and others from 2002-08-22 to 2002-10-10 (NCEI Accession 0112355). [indicate subset used]. NOAA National Centers for Environmental Information. Dataset. https://doi.org/10.3334/cdiac/otg.pacifica_49nz20020822. Accessed [date].</t>
  </si>
  <si>
    <t>PACIFICA_49NZ20040901</t>
  </si>
  <si>
    <t>07/09/2004-27/09/2004</t>
  </si>
  <si>
    <t>https://doi.org/10.3334/cdiac/otg.pacifica_49nz20040901</t>
  </si>
  <si>
    <t>Nishino, Shigeto; Shimada, Koji (2013). Alkalinity, temperature, salinity and other variables collected from discrete sample and profile observations using CTD, Coulometer for DIC measurement and other instruments from MIRAI in the Arctic Ocean and Beaufort Sea from 2004-09-01 to 2004-10-13 (NCEI Accession 0112357). [indicate subset used]. NOAA National Centers for Environmental Information. Dataset. https://doi.org/10.3334/cdiac/otg.pacifica_49nz20040901. Accessed [date].</t>
  </si>
  <si>
    <t>Rysgaard_East_Greenland/Isotopes_KN_2021</t>
  </si>
  <si>
    <t>10/08/2021-22/08/2021</t>
  </si>
  <si>
    <t xml:space="preserve">East Greenland </t>
  </si>
  <si>
    <t>https://doi.org/10.1594/PANGAEA.962781</t>
  </si>
  <si>
    <t>Rysgaard, Søren; Mortensen, John; Haxen, Magnus; Gillard, Laura; Risgaard-Petersen, Nils (2024): Summer hydrographic conditions at proglacial fjord entrances along East Greenland during HDMS Knud Rasmussen expedition KN_2021 in August 2021 [dataset]. PANGAEA, https://doi.org/10.1594/PANGAEA.962781</t>
  </si>
  <si>
    <t>SAS_Oden</t>
  </si>
  <si>
    <t>02/08/2021-11/09/2021</t>
  </si>
  <si>
    <t>Central Arctic Ocean</t>
  </si>
  <si>
    <t>https://doi.org/10.25921/eaf4-9658</t>
  </si>
  <si>
    <t>https://doi.org/10.48515/0v1w-8958</t>
  </si>
  <si>
    <t>Ulfsbo, Adam; Sundbom, Marcus; Tanhua, Toste; Gerke, Lennart; Wefing, Anne-Marie; Casacuberta, Núria (2023). Discrete profile measurements of carbon dioxide, hydrographic and chemical data during the R/V Oden SAS-Oden 2021 (SO21) cruise (EXPOCODE 77DN20210725) in the Arctic Ocean from 2021-07-25 to 2021-09-20 (NCEI Accession 0278647). [indicate subset used]. NOAA National Centers for Environmental Information. Dataset. https://doi.org/10.25921/eaf4-9658. Accessed [date].</t>
  </si>
  <si>
    <t>SWITCHYARD</t>
  </si>
  <si>
    <t>03/05/2005-18/05/2009</t>
  </si>
  <si>
    <t>North of Greenland</t>
  </si>
  <si>
    <t>https://doi.org/10.3334/cdiac/otg.switchyard_zzic2005swyd</t>
  </si>
  <si>
    <t>Schlosser, Peter; Swift, James H.; Smethie, William M., Jr. (2014). Nutrients, transient tracers, and other variables collected from profile and discrete sampling observations using Niskin bottle, CTD and other instruments in the Arctic Ocean from 2005-05-02 to 2009-05-18 (NCEI Accession 0117695). [indicate subset used]. NOAA National Centers for Environmental Information. Dataset. https://doi.org/10.3334/cdiac/otg.switchyard_zzic2005swyd. Accessed [date].</t>
  </si>
  <si>
    <t>Sikuliaq2024</t>
  </si>
  <si>
    <t>08/08/2024-26/08/2024</t>
  </si>
  <si>
    <t>Northern Bering Sea to Chukchi Sea</t>
  </si>
  <si>
    <t>CC0 1.0</t>
  </si>
  <si>
    <t>https://doi.org/10.18739/A23J3932S</t>
  </si>
  <si>
    <t xml:space="preserve">Lee W. Cooper, Jacqueline M. Grebmeier, &amp; Seth L. Danielson. (2025). Discrete water samples collected from the Conductivity-Temperature-Depth (CTD) rosette at specific depths, Research Vessel Sikuliaq, Northern Bering Sea to Chukchi Sea, 2024. Arctic Data Center. doi:10.18739/A23J3932S. </t>
  </si>
  <si>
    <t>TXF13</t>
  </si>
  <si>
    <t>14/09/2013-26/09/2013</t>
  </si>
  <si>
    <t>Gulf of Alaska</t>
  </si>
  <si>
    <t>https://doi.org/10.25921/n5dy-h455</t>
  </si>
  <si>
    <t>Monacci, Natalie M.; Cross, Jessica N.; Hopcroft, Russell R.; Mathis, Jeremy T. (2020). Discrete profile measurements of dissolved inorganic carbon (DIC), total alkalinity (TA), temperature, salinity, oxygen, nutrients and Delta Oxygen-18 during the M/V Tiglax Seward Line cruises TXS13 and TXF13 (EXPOCODEs: 33A020130427 and 33A020130914) in the Gulf of Alaska, North Pacific Ocean from 2013-04-27 to 2013-09-26 (NCEI Accession 0210222). [indicate subset used]. NOAA National Centers for Environmental Information. Dataset. https://doi.org/10.25921/n5dy-h455. Accessed [date].</t>
  </si>
  <si>
    <t>TXS13</t>
  </si>
  <si>
    <t>05/01/2013-05/08/2013</t>
  </si>
  <si>
    <t>UNCLOS_2014</t>
  </si>
  <si>
    <t>28/08/2014-24/09/2014</t>
  </si>
  <si>
    <t>Arctic Ocean, Beaufort Sea and Canada Basin</t>
  </si>
  <si>
    <t>https://doi.org/10.25921/2gj7-e547</t>
  </si>
  <si>
    <t>Azetsu-Scott, Kumiko; Eert, Jane; Zimmermann, Sarah (2021). Dissolved inorganic carbon (DIC), total alkalinity (TA), pH, discrete pCO2, methane, nutrients, dissolved oxygen, water temperature, salinity and other measurements collected from discrete samples and profile observations via opportunistic sampling on the United Nations Convention on the Law of the Sea (UNCLOS) CCGS Louis S. St-Laurent cruises 2014-10, 2015-05, and 2016-15 by Natural Resources of Canada (NRCan) in the Arctic Ocean, Beaufort Sea and Canada Basin from 2014-08-28 to 2016-09-13 (NCEI Accession 0240685). [indicate subset used]. NOAA National Centers for Environmental Information. Dataset. https://doi.org/10.25921/2gj7-e547. Accessed [date].</t>
  </si>
  <si>
    <t>UNCLOS_2015</t>
  </si>
  <si>
    <t>19/08/2015-11/09/2015</t>
  </si>
  <si>
    <t>UNCLOS_2016</t>
  </si>
  <si>
    <t>11/08/2016-13/09/2016</t>
  </si>
  <si>
    <t>Wateriso_Utah_Precip_data_N_of_60N</t>
  </si>
  <si>
    <t>10/01/1989-05/09/2021</t>
  </si>
  <si>
    <t>Norway, Greenland, Alaska, Canada, Siberia, Prince George Land, Central Greenland, Alaska western coast, Northern Norway</t>
  </si>
  <si>
    <t>https://wateriso.utah.edu/waterisotopes/pages/spatial_db/data_use.html</t>
  </si>
  <si>
    <t>https://wateriso.utah.edu/waterisotopes/pages/spatial_db/SPATIAL_DB.html</t>
  </si>
  <si>
    <t>Waterisotopes Database (2019), SPATIAL_DB: Spatial database of water isotope data, University of Utah. Data taken above 60deg N. Accessed from https://wateriso.utah.edu/waterisotopes/pages/spatial_db/SPATIAL_DB.html on [date you accessed the data]</t>
  </si>
  <si>
    <t>Wateriso_Utah_River_data_N_of_60N</t>
  </si>
  <si>
    <t>04/01/1985-28/03/2023</t>
  </si>
  <si>
    <t>Alaska, River Pur (Siberia), Iceland, Svalbard, Northern Norway/Sweden, Northern canada</t>
  </si>
  <si>
    <t>Wateriso_Utah_Snowpit_data_N_of_60N</t>
  </si>
  <si>
    <t>16/05/2010-08/05/2014</t>
  </si>
  <si>
    <t>Snowpit</t>
  </si>
  <si>
    <t>Northern Canadian islands, West Greenland, Central Greenland</t>
  </si>
  <si>
    <t>arct_carbn</t>
  </si>
  <si>
    <t>10/09/1986-14/10/2009</t>
  </si>
  <si>
    <t>Arctic Ocean, Baffin Bay, Beaufort Sea, Bering Sea, Coastal Waters of Southeast Alaska and British Columbia, Davis Strait, Gulf of Alaska, Gulf of St. Lawrence, Hudson Strait, Labrador Sea, North Pacific Ocean, Northwestern Passages</t>
  </si>
  <si>
    <t>https://doi.org/10.3334/cdiac/otg.ios_arct_carbn</t>
  </si>
  <si>
    <t>Giesbrecht, Karina E.; Miller, Lisa A.; Zimmermann, Sarah; Carmack, Eddy; Johnson, William K.; Macdonald, Robie W.; McLaughlin, Fiona; Mucci, Alfonso; Williams, William J.; Wong, C. S.; Yamamoto-Kawai, Michiyo (2014). Dissolved inorganic carbon, pH, alkalinity, temperature, salinity and other variables collected from discrete sample and profile observations using CTD, bottle and other instruments from AIRCRAFT, ARCTIC IVIK and others in the Arctic Ocean, Baffin Bay and others from 1974-08-11 to 2009-10-15 (NCEI Accession 0116709). [indicate subset used]. NOAA National Centers for Environmental Information. Dataset. https://doi.org/10.3334/cdiac/otg.ios_arct_carbn. Accessed [date].</t>
  </si>
  <si>
    <t>healy_2016</t>
  </si>
  <si>
    <t>06/07/2016-09/08/2016</t>
  </si>
  <si>
    <t>Arctic Ocean, Bering Strait</t>
  </si>
  <si>
    <t>https://doi.org/10.18739/A2BZ61952</t>
  </si>
  <si>
    <t xml:space="preserve">Eric Klein. (2023). Simultaneous Ocean Water and Boundary Layer Water Vapor Isotopes in Western Arctic, 2016. Arctic Data Center. doi:10.18739/A2BZ61952. </t>
  </si>
  <si>
    <t>HLY2202-SAS</t>
  </si>
  <si>
    <t>09/09/2022-22/10/2022</t>
  </si>
  <si>
    <t>Beaufort Sea, Chukchi Sea</t>
  </si>
  <si>
    <t>Sent by Lee Cooper</t>
  </si>
  <si>
    <t>HLY1801</t>
  </si>
  <si>
    <t>08/08/2018-23/08/2018</t>
  </si>
  <si>
    <t>Bering Sea, Chukchi Sea</t>
  </si>
  <si>
    <t>CC0 1.0 Universal</t>
  </si>
  <si>
    <t>https://doi.org/10.18739/A2JD4PR5B</t>
  </si>
  <si>
    <t xml:space="preserve">Lee W. Cooper, &amp; Jacqueline M. Grebmeier. (2025). Discrete water samples collected from the Conductivity-Temperature-Depth (CTD) rosette at specific depths, United States Coast Guard Cutter Healy (HLY1801), Northern Bering Sea to Chukchi Sea, 2018. Arctic Data Center. doi:10.18739/A2JD4PR5B. </t>
  </si>
  <si>
    <t>HLY1901</t>
  </si>
  <si>
    <t>06/08/2019-06/08/2019</t>
  </si>
  <si>
    <t>https://doi.org/10.18739/A2F47GW53</t>
  </si>
  <si>
    <t xml:space="preserve">Lee W. Cooper, &amp; Jacqueline M. Grebmeier. (2025). Discrete water samples collected from the Conductivity-Temperature-Depth (CTD) rosette at specific depths, United States Coast Guard Cutter Healy (HLY1901), Northern Bering Sea to Chukchi Sea, 2019. Arctic Data Center. doi:10.18739/A2F47GW53. </t>
  </si>
  <si>
    <t>HLY1702</t>
  </si>
  <si>
    <t>29/08/2017-13/09/2017</t>
  </si>
  <si>
    <t>https://doi.org/10.18739/A2PN8XH4S</t>
  </si>
  <si>
    <t xml:space="preserve">Lee W. Cooper, &amp; Jacqueline M. Grebmeier. (2025). Discrete water samples collected from the Conductivity-Temperature-Depth (CTD) rosette at specific depths, United States Coast Guard Cutter Healy (HLY1702), Northern Bering Sea to Chukchi Sea, 2017. Arctic Data Center. doi:10.18739/A2PN8XH4S. </t>
  </si>
  <si>
    <t>SWL2023</t>
  </si>
  <si>
    <t>17/07/2023-25/07/2023</t>
  </si>
  <si>
    <t>https://doi.org/10.18739/A2D50G02C</t>
  </si>
  <si>
    <t xml:space="preserve">Lee W. Cooper, Jacqueline M. Grebmeier, Sarah Zimmerman, &amp; Karen Frey. (2024). Discrete water samples collected from the Conductivity-Temperature-Depth rosette at specific depths, Canadian Coast Guard Service (CCGS) Sir Wilfrid Laurier, Northern Bering Sea to Chukchi Sea, 2023. Arctic Data Center. doi:10.18739/A2D50G02C. </t>
  </si>
  <si>
    <t>SWL2018</t>
  </si>
  <si>
    <t>16/07/2018-23/07/2018</t>
  </si>
  <si>
    <t>https://doi.org/10.18739/A24X54J4C</t>
  </si>
  <si>
    <t xml:space="preserve">Lee W. Cooper, Jacqueline M. Grebmeier, Karen Frey, &amp; Sarah Zimmerman. (2022). Discrete water samples collected from the Conductivity-Temperature-Depth(CTD) rosette at specific depths, Canadian Coast Guard Ship (CCGS) Sir Wilfrid Laurier, Northern Bering Sea to Chukchi Sea, 2018. Arctic Data Center. doi:10.18739/A24X54J4C. </t>
  </si>
  <si>
    <t>Sikuliaq2021</t>
  </si>
  <si>
    <t>08/11/2021-16/11/2021</t>
  </si>
  <si>
    <t>https://doi.org/10.18739/A2XD0R04Q</t>
  </si>
  <si>
    <t xml:space="preserve">Lee W. Cooper, Jacqueline M. Grebmeier, &amp; Seth L. Danielson. (2024). Discrete water samples collected from the Conductivity-Temperature-Depth (CTD) rosette at specific depths, Research Vessel Sikuliaq, Northern Bering Sea to Chukchi Sea, 2021. Arctic Data Center. doi:10.18739/A2XD0R04Q. </t>
  </si>
  <si>
    <t>SWL2021</t>
  </si>
  <si>
    <t>16/07/2021-24/07/2021</t>
  </si>
  <si>
    <t>https://doi.org/10.18739/A2RF5KH42</t>
  </si>
  <si>
    <t xml:space="preserve">Lee W. Cooper, Jacqueline M. Grebmeier, Sarah Zimmerman, &amp; Karen E. Frey. (2023). Discrete water samples collected from the Conductivity-Temperature-Depth (CTD) rosette at specific depths, Northern Bering Sea to Chukchi Sea, Sir Wilfrid Laurier 2021. Arctic Data Center. doi:10.18739/A2RF5KH42. </t>
  </si>
  <si>
    <t>SWL2019</t>
  </si>
  <si>
    <t>14/07/2019-22/07/2019</t>
  </si>
  <si>
    <t>https://doi.org/10.18739/A2CR5ND9N</t>
  </si>
  <si>
    <t xml:space="preserve">Lee W. Cooper, Jacqueline M. Grebmeier, Karen Frey, &amp; Sarah Zimmerman. (2023). Discrete water samples collected from the Conductivity-Temperature-Depth rosette at specific depths, CCGS Sir Wilfrid Laurier, Northern Bering Sea to Chukchi Sea, 2019. Arctic Data Center. doi:10.18739/A2CR5ND9N. </t>
  </si>
  <si>
    <t>SWL2017</t>
  </si>
  <si>
    <t>14/07/2017-22/07/2017</t>
  </si>
  <si>
    <t>https://doi.org/10.18739/A2P843X00</t>
  </si>
  <si>
    <t xml:space="preserve">Lee W. Cooper, Jacqueline M. Grebmeier, Karen E. Frey, &amp; Svein Vagle. (2020). Discrete water samples collected from the Conductivity-Temperature-Depth rosette at specific depths, Northern Bering Sea to Chukchi Sea, 2017. Arctic Data Center. doi:10.18739/A2P843X00. </t>
  </si>
  <si>
    <t>SWL2016</t>
  </si>
  <si>
    <t>12/07/2016-20/07/2016</t>
  </si>
  <si>
    <t>https://doi.org/10.18739/A23B5W875</t>
  </si>
  <si>
    <t xml:space="preserve">Lee W. Cooper, Jacqueline M. Grebmeier, Karen E. Frey, &amp; Svein Vagle. (2019). Discrete water samples collected from the Conductivity-Temperature-Depth rosette at specific depths, Northern Bering Sea to Chukchi Sea, 2016. Arctic Data Center. doi:10.18739/A23B5W875. </t>
  </si>
  <si>
    <t>type</t>
  </si>
  <si>
    <t>conformsto</t>
  </si>
  <si>
    <t>https://mlcommons.org/croissant/1.0</t>
  </si>
  <si>
    <t>description</t>
  </si>
  <si>
    <t>AISIT is a curated compilation of oxygen-18 (δ¹⁸O) isotope measurements from seawater and freshwater and other derivable environments, assembled from published and archived datasets spanning multiple ocean basins, rivers and arctic regions. The database integrates isotope values with associated metadata including geographic location, sampling context, temporal coverage, reference standards, salinity information where available, licensing, and citation details. AISIT is designed to support reproducible scientific analysis of hydrological and oceanographic processes, paleoclimate interpretation, and isotope–salinity relationships, with explicit provenance and reuse conditions preserved for each contributing dataset.</t>
  </si>
  <si>
    <t>license</t>
  </si>
  <si>
    <t>Placeholder:AISIT License</t>
  </si>
  <si>
    <t>name</t>
  </si>
  <si>
    <t>aisit_oxygen_isotope_database</t>
  </si>
  <si>
    <t>url</t>
  </si>
  <si>
    <t>Placeholder:AISIT Website</t>
  </si>
  <si>
    <t>creator</t>
  </si>
  <si>
    <t>AISIT Collaboration et al.</t>
  </si>
  <si>
    <t>datePublished</t>
  </si>
  <si>
    <t>contactName</t>
  </si>
  <si>
    <t>Charles Thorpe-Morgan</t>
  </si>
  <si>
    <t>contactEmail</t>
  </si>
  <si>
    <t>charles.thorpe-morgan@bas.ac.uk</t>
  </si>
  <si>
    <t>Publisher</t>
  </si>
  <si>
    <t>British Antarctic Survey / Natural Environment Research Council</t>
  </si>
  <si>
    <t>version</t>
  </si>
  <si>
    <t>Keywords</t>
  </si>
  <si>
    <t>oxygen-18, δ18O, seawater isotopes, hydrology, Arctic Ocean</t>
  </si>
  <si>
    <t>WOCE_Flags</t>
  </si>
  <si>
    <t>0 = no quality control performed, 1 = good data, 2 = probably good data, 3 = questionable data, 4 = bad data, 5 = value changed, 6 = below detection limit, 7 = above detection limit, 8 = interpolated value, 9 = missing data</t>
  </si>
  <si>
    <t>Field</t>
  </si>
  <si>
    <t>Units</t>
  </si>
  <si>
    <t>Description</t>
  </si>
  <si>
    <t>Comments</t>
  </si>
  <si>
    <t>No Units</t>
  </si>
  <si>
    <t>Short name of the dataset or file the data was extracted from</t>
  </si>
  <si>
    <t>Date</t>
  </si>
  <si>
    <t>[dd/mm/yyyy or mm/yyyy] - Date the sample was taken, please note some dates do no have days and thus only the month and year was recorded</t>
  </si>
  <si>
    <t>Time</t>
  </si>
  <si>
    <t>Time the sample was taken</t>
  </si>
  <si>
    <t>Latitude</t>
  </si>
  <si>
    <t>Degrees</t>
  </si>
  <si>
    <t>Decimalised Latitude of  the sampling position</t>
  </si>
  <si>
    <t>Longitude</t>
  </si>
  <si>
    <t>Decimalised Longitude of the sampling position</t>
  </si>
  <si>
    <t>Temperature [C]</t>
  </si>
  <si>
    <t>Degrees Celcius</t>
  </si>
  <si>
    <t>Sensor derived temperature of the sample</t>
  </si>
  <si>
    <t>CTD_TMP_WOCE_FLAG</t>
  </si>
  <si>
    <t>The WOCE qc flag for the temperature value</t>
  </si>
  <si>
    <t>CTD Pressure [dbar]</t>
  </si>
  <si>
    <t>dbar</t>
  </si>
  <si>
    <t xml:space="preserve">Sensor derived pressure of the sample, present as a proxy to calculate depth </t>
  </si>
  <si>
    <t>Some samples may have both pressure and depth but should have a minimum of one or the other, not present for some freshwater samples</t>
  </si>
  <si>
    <t>Sample Depth (m)</t>
  </si>
  <si>
    <t>meters</t>
  </si>
  <si>
    <t>Depth (meters below water surface)at which the sample was taken</t>
  </si>
  <si>
    <t xml:space="preserve"> not present for some freshwater samples</t>
  </si>
  <si>
    <t>DELO18 [‰]</t>
  </si>
  <si>
    <t>per mille</t>
  </si>
  <si>
    <t>The delta O18/O16 measurement as compared to the reference standard listed in the "O18 standard" column</t>
  </si>
  <si>
    <t>DELO18_WOCE_FLAG_Translated</t>
  </si>
  <si>
    <t>The WOCE qc flag for the O18 value</t>
  </si>
  <si>
    <t>Datasets where non-standard WOCE flags have been used (and the meanings provided) have been translated into their WOCE equivelants</t>
  </si>
  <si>
    <t>DELO18_WOCE_FLAG_Original</t>
  </si>
  <si>
    <t>The original WOCE qc flag for the O18 value, this is as given within the dataset therefore some may not be standard WOCE nomenclature</t>
  </si>
  <si>
    <t>O18 Standard</t>
  </si>
  <si>
    <t>The specified standard against which the O18 measurement was taken</t>
  </si>
  <si>
    <t>Any data entry for which the O18 Standard could not (yet) be found is labelled as VSMOW (assumed), the standard for the entries cannot be found and should therefore be treated as VSMOW but treated with caution</t>
  </si>
  <si>
    <t>CTD Salinity</t>
  </si>
  <si>
    <t>Standard salinity units</t>
  </si>
  <si>
    <t>The sensor/CTD derived salinity of a sample</t>
  </si>
  <si>
    <t>CTD_SAL_WOCE_FLAG</t>
  </si>
  <si>
    <t>WOCE flag for the sensor derived salinity</t>
  </si>
  <si>
    <t xml:space="preserve">Bottle Salinity </t>
  </si>
  <si>
    <t>The bottle analysis derived salinity for a sample</t>
  </si>
  <si>
    <t>BTL_SAL_WOCE_FLAG</t>
  </si>
  <si>
    <t>Cruise ID</t>
  </si>
  <si>
    <t>The cruise name or ID on which the samples were taken</t>
  </si>
  <si>
    <t>Station ID / Name</t>
  </si>
  <si>
    <t>The unique identifier for the station at which the samples were taken</t>
  </si>
  <si>
    <t>Site Number / Name</t>
  </si>
  <si>
    <t>The unique identifier for the site at which the samples were taken. Note that this is only present for land based sampling</t>
  </si>
  <si>
    <t>Sample ID</t>
  </si>
  <si>
    <t>The unique identifier for the sample taken</t>
  </si>
  <si>
    <t>CASTNO</t>
  </si>
  <si>
    <t>The cast number the sample was measured in</t>
  </si>
  <si>
    <t>BTLNBR</t>
  </si>
  <si>
    <t xml:space="preserve">The bottle number the sample was measured in </t>
  </si>
  <si>
    <t>Event</t>
  </si>
  <si>
    <t>A unique identifier similar to "Sample ID" that marks the event</t>
  </si>
  <si>
    <t>Rosette Position</t>
  </si>
  <si>
    <t>An identifier for the position of a bottle on the CTD rosette</t>
  </si>
  <si>
    <t>Platform</t>
  </si>
  <si>
    <t>The name or identifier of a platform from which sampling was taken</t>
  </si>
  <si>
    <t>BIOPOLE</t>
  </si>
  <si>
    <t>A boolean flag to mark whether a dataset is associated with (but not funded by) the BIOPOLE campaign</t>
  </si>
  <si>
    <t>Freshwater</t>
  </si>
  <si>
    <t>A boolean flag to mark whether the dataset is a freshwater sample</t>
  </si>
  <si>
    <t>Freshwater Source</t>
  </si>
  <si>
    <t>A short description of the type of freshwater source for freshwater samples e.g "River"</t>
  </si>
  <si>
    <t>LAND_BASED</t>
  </si>
  <si>
    <t>A boolean flag to mark whether the sample was taken on land</t>
  </si>
  <si>
    <t>Any comments on the dataset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</si>
</sst>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7">
    <font>
      <sz val="11"/>
      <color theme="1"/>
      <name val="Calibri"/>
      <family val="2"/>
      <scheme val="minor"/>
    </font>
    <font>
      <b/>
      <sz val="11"/>
      <name val="Calibri"/>
      <family val="2"/>
    </font>
    <font>
      <u/>
      <sz val="11"/>
      <color theme="10"/>
      <name val="Calibri"/>
      <family val="2"/>
      <scheme val="minor"/>
    </font>
    <font>
      <sz val="11"/>
      <color theme="1"/>
      <name val="Calibri"/>
      <family val="2"/>
      <scheme val="minor"/>
    </font>
    <font>
      <sz val="12"/>
      <color theme="1"/>
      <name val="Calibri"/>
      <family val="2"/>
      <scheme val="minor"/>
    </font>
    <font>
      <i/>
      <sz val="11"/>
      <color theme="1"/>
      <name val="Calibri"/>
      <family val="2"/>
      <scheme val="minor"/>
    </font>
    <font>
      <sz val="11"/>
      <color rgb="FF9C0006"/>
      <name val="Calibri"/>
      <family val="2"/>
      <scheme val="minor"/>
    </font>
  </fonts>
  <fills count="4">
    <fill>
      <patternFill patternType="none"/>
    </fill>
    <fill>
      <patternFill patternType="gray125"/>
    </fill>
    <fill>
      <patternFill patternType="solid">
        <fgColor theme="5" tint="0.79998168889431442"/>
        <bgColor indexed="65"/>
      </patternFill>
    </fill>
    <fill>
      <patternFill patternType="solid">
        <fgColor rgb="FFFFC7CE"/>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4">
    <xf numFmtId="0" fontId="0" fillId="0" borderId="0"/>
    <xf numFmtId="0" fontId="2" fillId="0" borderId="0" applyNumberFormat="0" applyFill="0" applyBorder="0" applyAlignment="0" applyProtection="0"/>
    <xf numFmtId="0" fontId="3" fillId="2" borderId="0" applyNumberFormat="0" applyBorder="0" applyAlignment="0" applyProtection="0"/>
    <xf numFmtId="0" fontId="6" fillId="3" borderId="0" applyNumberFormat="0" applyBorder="0" applyAlignment="0" applyProtection="0"/>
  </cellStyleXfs>
  <cellXfs count="15">
    <xf numFmtId="0" fontId="0" fillId="0" borderId="0" xfId="0"/>
    <xf numFmtId="0" fontId="1" fillId="0" borderId="1" xfId="0" applyFont="1" applyBorder="1" applyAlignment="1">
      <alignment horizontal="center" vertical="top"/>
    </xf>
    <xf numFmtId="0" fontId="2" fillId="0" borderId="0" xfId="1"/>
    <xf numFmtId="14" fontId="0" fillId="0" borderId="0" xfId="0" applyNumberFormat="1"/>
    <xf numFmtId="0" fontId="4" fillId="0" borderId="0" xfId="0" applyFont="1" applyAlignment="1">
      <alignment horizontal="left" vertical="center"/>
    </xf>
    <xf numFmtId="0" fontId="4" fillId="0" borderId="0" xfId="0" applyFont="1" applyAlignment="1">
      <alignment vertical="center"/>
    </xf>
    <xf numFmtId="0" fontId="0" fillId="0" borderId="0" xfId="0" applyAlignment="1">
      <alignment vertical="center"/>
    </xf>
    <xf numFmtId="0" fontId="3" fillId="0" borderId="0" xfId="2" applyFill="1"/>
    <xf numFmtId="14" fontId="3" fillId="0" borderId="0" xfId="2" applyNumberFormat="1" applyFill="1"/>
    <xf numFmtId="0" fontId="0" fillId="0" borderId="0" xfId="0" applyAlignment="1">
      <alignment horizontal="left" vertical="center"/>
    </xf>
    <xf numFmtId="0" fontId="4" fillId="0" borderId="0" xfId="0" applyFont="1" applyAlignment="1">
      <alignment horizontal="left" vertical="center" wrapText="1"/>
    </xf>
    <xf numFmtId="0" fontId="6" fillId="3" borderId="0" xfId="3"/>
    <xf numFmtId="164" fontId="0" fillId="0" borderId="0" xfId="0" applyNumberFormat="1"/>
    <xf numFmtId="164" fontId="2" fillId="0" borderId="0" xfId="1" applyNumberFormat="1" applyAlignment="1">
      <alignment wrapText="1"/>
    </xf>
    <xf numFmtId="0" fontId="1" fillId="0" borderId="2" xfId="0" applyFont="1" applyBorder="1" applyAlignment="1">
      <alignment horizontal="center" vertical="top"/>
    </xf>
  </cellXfs>
  <cellStyles count="4">
    <cellStyle name="20% - Accent2" xfId="2" builtinId="34"/>
    <cellStyle name="Bad" xfId="3" builtinId="27"/>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data.giss.nasa.gov/o18data/" TargetMode="External"/><Relationship Id="rId21" Type="http://schemas.openxmlformats.org/officeDocument/2006/relationships/hyperlink" Target="https://doi.org/10.3334/cdiac/otg.pacifica_32pz20020819" TargetMode="External"/><Relationship Id="rId42" Type="http://schemas.openxmlformats.org/officeDocument/2006/relationships/hyperlink" Target="https://doi.org/10.1594/PANGAEA.930217" TargetMode="External"/><Relationship Id="rId47" Type="http://schemas.openxmlformats.org/officeDocument/2006/relationships/hyperlink" Target="https://doi.org/10.25921/eaf4-9658" TargetMode="External"/><Relationship Id="rId63" Type="http://schemas.openxmlformats.org/officeDocument/2006/relationships/hyperlink" Target="https://doi.org/10.18739/A2PN8XH4S" TargetMode="External"/><Relationship Id="rId68" Type="http://schemas.openxmlformats.org/officeDocument/2006/relationships/hyperlink" Target="https://doi.org/10.18739/A2CR5ND9N" TargetMode="External"/><Relationship Id="rId84" Type="http://schemas.openxmlformats.org/officeDocument/2006/relationships/hyperlink" Target="https://www.ncei.noaa.gov/sites/default/files/2023-12/NCEI%20PD-10-2-02%20-%20Open%20Data%20Policy%20Signed.pdf" TargetMode="External"/><Relationship Id="rId89" Type="http://schemas.openxmlformats.org/officeDocument/2006/relationships/hyperlink" Target="https://www.ncei.noaa.gov/sites/default/files/2023-12/NCEI%20PD-10-2-02%20-%20Open%20Data%20Policy%20Signed.pdf" TargetMode="External"/><Relationship Id="rId16" Type="http://schemas.openxmlformats.org/officeDocument/2006/relationships/hyperlink" Target="https://doi.org/10.25921/c5kx-sm59" TargetMode="External"/><Relationship Id="rId107" Type="http://schemas.openxmlformats.org/officeDocument/2006/relationships/hyperlink" Target="https://www.ncei.noaa.gov/sites/default/files/2023-12/NCEI%20PD-10-2-02%20-%20Open%20Data%20Policy%20Signed.pdf" TargetMode="External"/><Relationship Id="rId11" Type="http://schemas.openxmlformats.org/officeDocument/2006/relationships/hyperlink" Target="https://doi.org/10.25921/350g-0y60" TargetMode="External"/><Relationship Id="rId32" Type="http://schemas.openxmlformats.org/officeDocument/2006/relationships/hyperlink" Target="https://doi.org/10.7289/v5794304" TargetMode="External"/><Relationship Id="rId37" Type="http://schemas.openxmlformats.org/officeDocument/2006/relationships/hyperlink" Target="https://www.ncei.noaa.gov/access/metadata/landing-page/bin/iso?id=gov.noaa.nodc:0068667" TargetMode="External"/><Relationship Id="rId53" Type="http://schemas.openxmlformats.org/officeDocument/2006/relationships/hyperlink" Target="https://doi.org/10.25921/2gj7-e547" TargetMode="External"/><Relationship Id="rId58" Type="http://schemas.openxmlformats.org/officeDocument/2006/relationships/hyperlink" Target="https://doi.org/10.18739/A2BZ61952" TargetMode="External"/><Relationship Id="rId74" Type="http://schemas.openxmlformats.org/officeDocument/2006/relationships/hyperlink" Target="https://www.ncei.noaa.gov/sites/default/files/2023-12/NCEI%20PD-10-2-02%20-%20Open%20Data%20Policy%20Signed.pdf" TargetMode="External"/><Relationship Id="rId79" Type="http://schemas.openxmlformats.org/officeDocument/2006/relationships/hyperlink" Target="https://www.ncei.noaa.gov/sites/default/files/2023-12/NCEI%20PD-10-2-02%20-%20Open%20Data%20Policy%20Signed.pdf" TargetMode="External"/><Relationship Id="rId102" Type="http://schemas.openxmlformats.org/officeDocument/2006/relationships/hyperlink" Target="https://www.ncei.noaa.gov/sites/default/files/2023-12/NCEI%20PD-10-2-02%20-%20Open%20Data%20Policy%20Signed.pdf" TargetMode="External"/><Relationship Id="rId5" Type="http://schemas.openxmlformats.org/officeDocument/2006/relationships/hyperlink" Target="https://doi.org/10.3334/cdiac/otg.clivar_arkxxii_2" TargetMode="External"/><Relationship Id="rId90" Type="http://schemas.openxmlformats.org/officeDocument/2006/relationships/hyperlink" Target="https://www.ncei.noaa.gov/sites/default/files/2023-12/NCEI%20PD-10-2-02%20-%20Open%20Data%20Policy%20Signed.pdf" TargetMode="External"/><Relationship Id="rId95" Type="http://schemas.openxmlformats.org/officeDocument/2006/relationships/hyperlink" Target="https://www.ncei.noaa.gov/sites/default/files/2023-12/NCEI%20PD-10-2-02%20-%20Open%20Data%20Policy%20Signed.pdf" TargetMode="External"/><Relationship Id="rId22" Type="http://schemas.openxmlformats.org/officeDocument/2006/relationships/hyperlink" Target="https://doi.org/10.3334/cdiac/otg.pacifica_49nz20040901" TargetMode="External"/><Relationship Id="rId27" Type="http://schemas.openxmlformats.org/officeDocument/2006/relationships/hyperlink" Target="https://doi.org/10.25921/719e-qr37" TargetMode="External"/><Relationship Id="rId43" Type="http://schemas.openxmlformats.org/officeDocument/2006/relationships/hyperlink" Target="https://download.pangaea.de/reference/107897/attachments/KQ2018-Expedition-Report.pdf" TargetMode="External"/><Relationship Id="rId48" Type="http://schemas.openxmlformats.org/officeDocument/2006/relationships/hyperlink" Target="https://doi.org/10.3334/cdiac/otg.switchyard_zzic2005swyd" TargetMode="External"/><Relationship Id="rId64" Type="http://schemas.openxmlformats.org/officeDocument/2006/relationships/hyperlink" Target="https://doi.org/10.18739/A2D50G02C" TargetMode="External"/><Relationship Id="rId69" Type="http://schemas.openxmlformats.org/officeDocument/2006/relationships/hyperlink" Target="https://doi.org/10.18739/A2P843X00" TargetMode="External"/><Relationship Id="rId80" Type="http://schemas.openxmlformats.org/officeDocument/2006/relationships/hyperlink" Target="https://www.ncei.noaa.gov/sites/default/files/2023-12/NCEI%20PD-10-2-02%20-%20Open%20Data%20Policy%20Signed.pdf" TargetMode="External"/><Relationship Id="rId85" Type="http://schemas.openxmlformats.org/officeDocument/2006/relationships/hyperlink" Target="https://www.ncei.noaa.gov/sites/default/files/2023-12/NCEI%20PD-10-2-02%20-%20Open%20Data%20Policy%20Signed.pdf" TargetMode="External"/><Relationship Id="rId12" Type="http://schemas.openxmlformats.org/officeDocument/2006/relationships/hyperlink" Target="https://doi.org/10.7289/v5df6pj1" TargetMode="External"/><Relationship Id="rId17" Type="http://schemas.openxmlformats.org/officeDocument/2006/relationships/hyperlink" Target="https://doi.org/10.25921/c35k-0h70" TargetMode="External"/><Relationship Id="rId33" Type="http://schemas.openxmlformats.org/officeDocument/2006/relationships/hyperlink" Target="https://doi.org/10.7289/v5bz64cq" TargetMode="External"/><Relationship Id="rId38" Type="http://schemas.openxmlformats.org/officeDocument/2006/relationships/hyperlink" Target="http://www.arcticgreatrivers.org/data" TargetMode="External"/><Relationship Id="rId59" Type="http://schemas.openxmlformats.org/officeDocument/2006/relationships/hyperlink" Target="https://doi.org/10.18739/A2BZ61952" TargetMode="External"/><Relationship Id="rId103" Type="http://schemas.openxmlformats.org/officeDocument/2006/relationships/hyperlink" Target="https://www.ncei.noaa.gov/sites/default/files/2023-12/NCEI%20PD-10-2-02%20-%20Open%20Data%20Policy%20Signed.pdf" TargetMode="External"/><Relationship Id="rId108" Type="http://schemas.openxmlformats.org/officeDocument/2006/relationships/hyperlink" Target="https://www.ncei.noaa.gov/sites/default/files/2023-12/NCEI%20PD-10-2-02%20-%20Open%20Data%20Policy%20Signed.pdf" TargetMode="External"/><Relationship Id="rId54" Type="http://schemas.openxmlformats.org/officeDocument/2006/relationships/hyperlink" Target="https://wateriso.utah.edu/waterisotopes/pages/spatial_db/SPATIAL_DB.html" TargetMode="External"/><Relationship Id="rId70" Type="http://schemas.openxmlformats.org/officeDocument/2006/relationships/hyperlink" Target="https://doi.org/10.18739/A23B5W875" TargetMode="External"/><Relationship Id="rId75" Type="http://schemas.openxmlformats.org/officeDocument/2006/relationships/hyperlink" Target="https://www.ncei.noaa.gov/sites/default/files/2023-12/NCEI%20PD-10-2-02%20-%20Open%20Data%20Policy%20Signed.pdf" TargetMode="External"/><Relationship Id="rId91" Type="http://schemas.openxmlformats.org/officeDocument/2006/relationships/hyperlink" Target="https://www.ncei.noaa.gov/sites/default/files/2023-12/NCEI%20PD-10-2-02%20-%20Open%20Data%20Policy%20Signed.pdf" TargetMode="External"/><Relationship Id="rId96" Type="http://schemas.openxmlformats.org/officeDocument/2006/relationships/hyperlink" Target="https://www.ncei.noaa.gov/sites/default/files/2023-12/NCEI%20PD-10-2-02%20-%20Open%20Data%20Policy%20Signed.pdf" TargetMode="External"/><Relationship Id="rId1" Type="http://schemas.openxmlformats.org/officeDocument/2006/relationships/hyperlink" Target="https://doi.org/10.25921/35kw-bx29" TargetMode="External"/><Relationship Id="rId6" Type="http://schemas.openxmlformats.org/officeDocument/2006/relationships/hyperlink" Target="https://doi.org/10.3334/cdiac/otg.06aq19870704_ark_iv_3" TargetMode="External"/><Relationship Id="rId15" Type="http://schemas.openxmlformats.org/officeDocument/2006/relationships/hyperlink" Target="https://doi.org/10.25921/y1cw-db38" TargetMode="External"/><Relationship Id="rId23" Type="http://schemas.openxmlformats.org/officeDocument/2006/relationships/hyperlink" Target="https://doi.org/10.3334/cdiac/otg.ios_arct_carbn" TargetMode="External"/><Relationship Id="rId28" Type="http://schemas.openxmlformats.org/officeDocument/2006/relationships/hyperlink" Target="https://doi.org/10.25921/7r17-4q18" TargetMode="External"/><Relationship Id="rId36" Type="http://schemas.openxmlformats.org/officeDocument/2006/relationships/hyperlink" Target="https://doi.org/10.25921/n5dy-h455" TargetMode="External"/><Relationship Id="rId49" Type="http://schemas.openxmlformats.org/officeDocument/2006/relationships/hyperlink" Target="https://doi.org/10.18739/A23J3932S" TargetMode="External"/><Relationship Id="rId57" Type="http://schemas.openxmlformats.org/officeDocument/2006/relationships/hyperlink" Target="https://wateriso.utah.edu/waterisotopes/pages/spatial_db/SPATIAL_DB.html?utm_source=chatgpt.com" TargetMode="External"/><Relationship Id="rId106" Type="http://schemas.openxmlformats.org/officeDocument/2006/relationships/hyperlink" Target="https://www.ncei.noaa.gov/sites/default/files/2023-12/NCEI%20PD-10-2-02%20-%20Open%20Data%20Policy%20Signed.pdf" TargetMode="External"/><Relationship Id="rId10" Type="http://schemas.openxmlformats.org/officeDocument/2006/relationships/hyperlink" Target="https://doi.org/10.3334/cdiac/otg.32h120030721" TargetMode="External"/><Relationship Id="rId31" Type="http://schemas.openxmlformats.org/officeDocument/2006/relationships/hyperlink" Target="https://doi.org/10.7289/v53j3b9v" TargetMode="External"/><Relationship Id="rId44" Type="http://schemas.openxmlformats.org/officeDocument/2006/relationships/hyperlink" Target="https://doi.org/10.7289/v5zs2tt5" TargetMode="External"/><Relationship Id="rId52" Type="http://schemas.openxmlformats.org/officeDocument/2006/relationships/hyperlink" Target="https://doi.org/10.25921/2gj7-e547" TargetMode="External"/><Relationship Id="rId60" Type="http://schemas.openxmlformats.org/officeDocument/2006/relationships/hyperlink" Target="https://doi.org/10.18739/A2JD4PR5B" TargetMode="External"/><Relationship Id="rId65" Type="http://schemas.openxmlformats.org/officeDocument/2006/relationships/hyperlink" Target="https://doi.org/10.18739/A24X54J4C" TargetMode="External"/><Relationship Id="rId73" Type="http://schemas.openxmlformats.org/officeDocument/2006/relationships/hyperlink" Target="https://www.ncei.noaa.gov/sites/default/files/2023-12/NCEI%20PD-10-2-02%20-%20Open%20Data%20Policy%20Signed.pdf" TargetMode="External"/><Relationship Id="rId78" Type="http://schemas.openxmlformats.org/officeDocument/2006/relationships/hyperlink" Target="https://www.ncei.noaa.gov/sites/default/files/2023-12/NCEI%20PD-10-2-02%20-%20Open%20Data%20Policy%20Signed.pdf" TargetMode="External"/><Relationship Id="rId81" Type="http://schemas.openxmlformats.org/officeDocument/2006/relationships/hyperlink" Target="https://www.ncei.noaa.gov/sites/default/files/2023-12/NCEI%20PD-10-2-02%20-%20Open%20Data%20Policy%20Signed.pdf" TargetMode="External"/><Relationship Id="rId86" Type="http://schemas.openxmlformats.org/officeDocument/2006/relationships/hyperlink" Target="https://www.ncei.noaa.gov/sites/default/files/2023-12/NCEI%20PD-10-2-02%20-%20Open%20Data%20Policy%20Signed.pdf" TargetMode="External"/><Relationship Id="rId94" Type="http://schemas.openxmlformats.org/officeDocument/2006/relationships/hyperlink" Target="https://www.ncei.noaa.gov/sites/default/files/2023-12/NCEI%20PD-10-2-02%20-%20Open%20Data%20Policy%20Signed.pdf" TargetMode="External"/><Relationship Id="rId99" Type="http://schemas.openxmlformats.org/officeDocument/2006/relationships/hyperlink" Target="https://www.ncei.noaa.gov/sites/default/files/2023-12/NCEI%20PD-10-2-02%20-%20Open%20Data%20Policy%20Signed.pdf" TargetMode="External"/><Relationship Id="rId101" Type="http://schemas.openxmlformats.org/officeDocument/2006/relationships/hyperlink" Target="https://www.ncei.noaa.gov/sites/default/files/2023-12/NCEI%20PD-10-2-02%20-%20Open%20Data%20Policy%20Signed.pdf" TargetMode="External"/><Relationship Id="rId4" Type="http://schemas.openxmlformats.org/officeDocument/2006/relationships/hyperlink" Target="https://doi.org/10.3334/cdiac/otg.carina_06aq19930806" TargetMode="External"/><Relationship Id="rId9" Type="http://schemas.openxmlformats.org/officeDocument/2006/relationships/hyperlink" Target="https://doi.org/10.3334/cdiac/otg.carina_32h120020718" TargetMode="External"/><Relationship Id="rId13" Type="http://schemas.openxmlformats.org/officeDocument/2006/relationships/hyperlink" Target="https://doi.org/10.25921/vwsp-x287" TargetMode="External"/><Relationship Id="rId18" Type="http://schemas.openxmlformats.org/officeDocument/2006/relationships/hyperlink" Target="https://doi.org/10.7289/v5v1233j" TargetMode="External"/><Relationship Id="rId39" Type="http://schemas.openxmlformats.org/officeDocument/2006/relationships/hyperlink" Target="https://doi.org/10.1594/PANGAEA.896543" TargetMode="External"/><Relationship Id="rId109" Type="http://schemas.openxmlformats.org/officeDocument/2006/relationships/hyperlink" Target="https://www.ncei.noaa.gov/sites/default/files/2023-12/NCEI%20PD-10-2-02%20-%20Open%20Data%20Policy%20Signed.pdf" TargetMode="External"/><Relationship Id="rId34" Type="http://schemas.openxmlformats.org/officeDocument/2006/relationships/hyperlink" Target="https://doi.org/10.3334/cdiac/otg.pacifica_49nz20020822" TargetMode="External"/><Relationship Id="rId50" Type="http://schemas.openxmlformats.org/officeDocument/2006/relationships/hyperlink" Target="https://doi.org/10.25921/n5dy-h455" TargetMode="External"/><Relationship Id="rId55" Type="http://schemas.openxmlformats.org/officeDocument/2006/relationships/hyperlink" Target="https://wateriso.utah.edu/waterisotopes/pages/spatial_db/SPATIAL_DB.html?utm_source=chatgpt.com" TargetMode="External"/><Relationship Id="rId76" Type="http://schemas.openxmlformats.org/officeDocument/2006/relationships/hyperlink" Target="https://www.ncei.noaa.gov/sites/default/files/2023-12/NCEI%20PD-10-2-02%20-%20Open%20Data%20Policy%20Signed.pdf" TargetMode="External"/><Relationship Id="rId97" Type="http://schemas.openxmlformats.org/officeDocument/2006/relationships/hyperlink" Target="https://www.ncei.noaa.gov/sites/default/files/2023-12/NCEI%20PD-10-2-02%20-%20Open%20Data%20Policy%20Signed.pdf" TargetMode="External"/><Relationship Id="rId104" Type="http://schemas.openxmlformats.org/officeDocument/2006/relationships/hyperlink" Target="https://www.ncei.noaa.gov/sites/default/files/2023-12/NCEI%20PD-10-2-02%20-%20Open%20Data%20Policy%20Signed.pdf" TargetMode="External"/><Relationship Id="rId7" Type="http://schemas.openxmlformats.org/officeDocument/2006/relationships/hyperlink" Target="https://doi.org/10.3334/cdiac/otg.carina_32h120020505" TargetMode="External"/><Relationship Id="rId71" Type="http://schemas.openxmlformats.org/officeDocument/2006/relationships/hyperlink" Target="https://www.ncei.noaa.gov/sites/default/files/2023-12/NCEI%20PD-10-2-02%20-%20Open%20Data%20Policy%20Signed.pdf" TargetMode="External"/><Relationship Id="rId92" Type="http://schemas.openxmlformats.org/officeDocument/2006/relationships/hyperlink" Target="https://www.ncei.noaa.gov/sites/default/files/2023-12/NCEI%20PD-10-2-02%20-%20Open%20Data%20Policy%20Signed.pdf" TargetMode="External"/><Relationship Id="rId2" Type="http://schemas.openxmlformats.org/officeDocument/2006/relationships/hyperlink" Target="https://doi.org/10.3334/cdiac/otg.carina_77dn19910726" TargetMode="External"/><Relationship Id="rId29" Type="http://schemas.openxmlformats.org/officeDocument/2006/relationships/hyperlink" Target="https://doi.org/10.25921/jkqw-ya62" TargetMode="External"/><Relationship Id="rId24" Type="http://schemas.openxmlformats.org/officeDocument/2006/relationships/hyperlink" Target="http://www.arcticgreatrivers.org/data" TargetMode="External"/><Relationship Id="rId40" Type="http://schemas.openxmlformats.org/officeDocument/2006/relationships/hyperlink" Target="https://www2.whoi.edu/site/beaufortgyre/expeditions/2014-expedition/" TargetMode="External"/><Relationship Id="rId45" Type="http://schemas.openxmlformats.org/officeDocument/2006/relationships/hyperlink" Target="https://doi.org/10.17882/71186" TargetMode="External"/><Relationship Id="rId66" Type="http://schemas.openxmlformats.org/officeDocument/2006/relationships/hyperlink" Target="https://doi.org/10.18739/A2XD0R04Q" TargetMode="External"/><Relationship Id="rId87" Type="http://schemas.openxmlformats.org/officeDocument/2006/relationships/hyperlink" Target="https://www.ncei.noaa.gov/sites/default/files/2023-12/NCEI%20PD-10-2-02%20-%20Open%20Data%20Policy%20Signed.pdf" TargetMode="External"/><Relationship Id="rId110" Type="http://schemas.openxmlformats.org/officeDocument/2006/relationships/hyperlink" Target="https://www.ncei.noaa.gov/sites/default/files/2023-12/NCEI%20PD-10-2-02%20-%20Open%20Data%20Policy%20Signed.pdf" TargetMode="External"/><Relationship Id="rId61" Type="http://schemas.openxmlformats.org/officeDocument/2006/relationships/hyperlink" Target="https://doi.org/10.18739/A2JD4PR5B" TargetMode="External"/><Relationship Id="rId82" Type="http://schemas.openxmlformats.org/officeDocument/2006/relationships/hyperlink" Target="https://www.ncei.noaa.gov/sites/default/files/2023-12/NCEI%20PD-10-2-02%20-%20Open%20Data%20Policy%20Signed.pdf" TargetMode="External"/><Relationship Id="rId19" Type="http://schemas.openxmlformats.org/officeDocument/2006/relationships/hyperlink" Target="https://doi.org/10.7289/v58p5xt9" TargetMode="External"/><Relationship Id="rId14" Type="http://schemas.openxmlformats.org/officeDocument/2006/relationships/hyperlink" Target="https://doi.org/10.25921/w3rp-tx17" TargetMode="External"/><Relationship Id="rId30" Type="http://schemas.openxmlformats.org/officeDocument/2006/relationships/hyperlink" Target="https://doi.org/10.25921/jy88-9n09" TargetMode="External"/><Relationship Id="rId35" Type="http://schemas.openxmlformats.org/officeDocument/2006/relationships/hyperlink" Target="https://doi.org/10.18739/A23J3932S" TargetMode="External"/><Relationship Id="rId56" Type="http://schemas.openxmlformats.org/officeDocument/2006/relationships/hyperlink" Target="https://wateriso.utah.edu/waterisotopes/pages/spatial_db/SPATIAL_DB.html?utm_source=chatgpt.com" TargetMode="External"/><Relationship Id="rId77" Type="http://schemas.openxmlformats.org/officeDocument/2006/relationships/hyperlink" Target="https://www.ncei.noaa.gov/sites/default/files/2023-12/NCEI%20PD-10-2-02%20-%20Open%20Data%20Policy%20Signed.pdf" TargetMode="External"/><Relationship Id="rId100" Type="http://schemas.openxmlformats.org/officeDocument/2006/relationships/hyperlink" Target="https://www.ncei.noaa.gov/sites/default/files/2023-12/NCEI%20PD-10-2-02%20-%20Open%20Data%20Policy%20Signed.pdf" TargetMode="External"/><Relationship Id="rId105" Type="http://schemas.openxmlformats.org/officeDocument/2006/relationships/hyperlink" Target="https://www.ncei.noaa.gov/sites/default/files/2023-12/NCEI%20PD-10-2-02%20-%20Open%20Data%20Policy%20Signed.pdf" TargetMode="External"/><Relationship Id="rId8" Type="http://schemas.openxmlformats.org/officeDocument/2006/relationships/hyperlink" Target="https://doi.org/10.3334/cdiac/otg.carina_77ym19800811" TargetMode="External"/><Relationship Id="rId51" Type="http://schemas.openxmlformats.org/officeDocument/2006/relationships/hyperlink" Target="https://doi.org/10.25921/2gj7-e547" TargetMode="External"/><Relationship Id="rId72" Type="http://schemas.openxmlformats.org/officeDocument/2006/relationships/hyperlink" Target="https://www.ncei.noaa.gov/sites/default/files/2023-12/NCEI%20PD-10-2-02%20-%20Open%20Data%20Policy%20Signed.pdf" TargetMode="External"/><Relationship Id="rId93" Type="http://schemas.openxmlformats.org/officeDocument/2006/relationships/hyperlink" Target="https://www.ncei.noaa.gov/sites/default/files/2023-12/NCEI%20PD-10-2-02%20-%20Open%20Data%20Policy%20Signed.pdf" TargetMode="External"/><Relationship Id="rId98" Type="http://schemas.openxmlformats.org/officeDocument/2006/relationships/hyperlink" Target="https://www.ncei.noaa.gov/sites/default/files/2023-12/NCEI%20PD-10-2-02%20-%20Open%20Data%20Policy%20Signed.pdf" TargetMode="External"/><Relationship Id="rId3" Type="http://schemas.openxmlformats.org/officeDocument/2006/relationships/hyperlink" Target="https://doi.org/10.3334/cdiac/otg.carina_58aa20000923" TargetMode="External"/><Relationship Id="rId25" Type="http://schemas.openxmlformats.org/officeDocument/2006/relationships/hyperlink" Target="https://www.geotraces.org/wp-content/uploads/2023/09/Fair_Data_Use_Statement-for-IDP2021v2.pdf" TargetMode="External"/><Relationship Id="rId46" Type="http://schemas.openxmlformats.org/officeDocument/2006/relationships/hyperlink" Target="https://doi.org/10.1594/PANGAEA.962781" TargetMode="External"/><Relationship Id="rId67" Type="http://schemas.openxmlformats.org/officeDocument/2006/relationships/hyperlink" Target="https://doi.org/10.18739/A2RF5KH42" TargetMode="External"/><Relationship Id="rId20" Type="http://schemas.openxmlformats.org/officeDocument/2006/relationships/hyperlink" Target="https://doi.org/10.5285/42c92148-8d03-8be6-e063-7086abc09f0c" TargetMode="External"/><Relationship Id="rId41" Type="http://schemas.openxmlformats.org/officeDocument/2006/relationships/hyperlink" Target="https://doi.org/10.7289/v5j67f79" TargetMode="External"/><Relationship Id="rId62" Type="http://schemas.openxmlformats.org/officeDocument/2006/relationships/hyperlink" Target="https://doi.org/10.18739/A2F47GW53" TargetMode="External"/><Relationship Id="rId83" Type="http://schemas.openxmlformats.org/officeDocument/2006/relationships/hyperlink" Target="https://www.ncei.noaa.gov/sites/default/files/2023-12/NCEI%20PD-10-2-02%20-%20Open%20Data%20Policy%20Signed.pdf" TargetMode="External"/><Relationship Id="rId88" Type="http://schemas.openxmlformats.org/officeDocument/2006/relationships/hyperlink" Target="https://www.ncei.noaa.gov/sites/default/files/2023-12/NCEI%20PD-10-2-02%20-%20Open%20Data%20Policy%20Signed.pdf" TargetMode="External"/><Relationship Id="rId11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hyperlink" Target="https://mlcommons.org/croissant/1.0" TargetMode="External"/><Relationship Id="rId1" Type="http://schemas.openxmlformats.org/officeDocument/2006/relationships/hyperlink" Target="mailto:charles.thorpe-morgan@bas.ac.u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75"/>
  <sheetViews>
    <sheetView workbookViewId="0">
      <selection activeCell="K64" sqref="K64"/>
    </sheetView>
  </sheetViews>
  <sheetFormatPr defaultRowHeight="14.45"/>
  <cols>
    <col min="1" max="1" width="37.42578125" customWidth="1"/>
    <col min="2" max="3" width="14.42578125" customWidth="1"/>
    <col min="4" max="4" width="24.7109375" customWidth="1"/>
    <col min="5" max="5" width="44.140625" customWidth="1"/>
    <col min="8" max="8" width="27.5703125" customWidth="1"/>
    <col min="10" max="10" width="17" customWidth="1"/>
    <col min="11" max="11" width="13.42578125" customWidth="1"/>
    <col min="12" max="12" width="6.85546875" customWidth="1"/>
    <col min="13" max="13" width="12.42578125" customWidth="1"/>
    <col min="14" max="14" width="15" customWidth="1"/>
  </cols>
  <sheetData>
    <row r="1" spans="1:16">
      <c r="A1" s="1" t="s">
        <v>0</v>
      </c>
      <c r="B1" s="1" t="s">
        <v>1</v>
      </c>
      <c r="C1" s="1" t="s">
        <v>2</v>
      </c>
      <c r="D1" s="1" t="s">
        <v>3</v>
      </c>
      <c r="E1" s="1" t="s">
        <v>4</v>
      </c>
      <c r="F1" s="1" t="s">
        <v>5</v>
      </c>
      <c r="G1" s="1" t="s">
        <v>6</v>
      </c>
      <c r="H1" s="1" t="s">
        <v>7</v>
      </c>
      <c r="I1" s="1" t="s">
        <v>8</v>
      </c>
      <c r="J1" s="1" t="s">
        <v>9</v>
      </c>
      <c r="K1" s="1" t="s">
        <v>10</v>
      </c>
      <c r="L1" s="14" t="s">
        <v>11</v>
      </c>
      <c r="M1" s="14" t="s">
        <v>12</v>
      </c>
      <c r="N1" s="14" t="s">
        <v>13</v>
      </c>
      <c r="O1" s="14" t="s">
        <v>14</v>
      </c>
      <c r="P1" s="14" t="s">
        <v>15</v>
      </c>
    </row>
    <row r="2" spans="1:16">
      <c r="A2" t="s">
        <v>16</v>
      </c>
      <c r="B2">
        <v>509</v>
      </c>
      <c r="C2" t="s">
        <v>17</v>
      </c>
      <c r="D2" t="s">
        <v>18</v>
      </c>
      <c r="E2" s="9" t="s">
        <v>19</v>
      </c>
      <c r="F2" t="b">
        <v>0</v>
      </c>
      <c r="G2" s="2" t="s">
        <v>20</v>
      </c>
      <c r="H2" t="s">
        <v>21</v>
      </c>
      <c r="I2">
        <v>1</v>
      </c>
      <c r="J2" s="3">
        <v>45994</v>
      </c>
      <c r="K2" s="2" t="s">
        <v>22</v>
      </c>
      <c r="L2">
        <v>0</v>
      </c>
      <c r="M2">
        <v>0</v>
      </c>
      <c r="N2" t="s">
        <v>23</v>
      </c>
      <c r="O2" t="s">
        <v>24</v>
      </c>
    </row>
    <row r="3" spans="1:16">
      <c r="A3" t="s">
        <v>25</v>
      </c>
      <c r="B3">
        <v>622</v>
      </c>
      <c r="C3" t="s">
        <v>26</v>
      </c>
      <c r="D3" t="s">
        <v>18</v>
      </c>
      <c r="E3" s="9" t="s">
        <v>27</v>
      </c>
      <c r="F3" t="b">
        <v>0</v>
      </c>
      <c r="G3" s="2" t="s">
        <v>20</v>
      </c>
      <c r="H3" t="s">
        <v>21</v>
      </c>
      <c r="I3">
        <v>1</v>
      </c>
      <c r="J3" s="3">
        <v>45994</v>
      </c>
      <c r="K3" s="2" t="s">
        <v>28</v>
      </c>
      <c r="L3">
        <v>0</v>
      </c>
      <c r="M3">
        <v>0</v>
      </c>
      <c r="N3" t="s">
        <v>29</v>
      </c>
      <c r="O3" t="s">
        <v>30</v>
      </c>
    </row>
    <row r="4" spans="1:16" ht="15.6">
      <c r="A4" t="s">
        <v>31</v>
      </c>
      <c r="B4">
        <v>151</v>
      </c>
      <c r="C4" t="s">
        <v>32</v>
      </c>
      <c r="D4" t="s">
        <v>18</v>
      </c>
      <c r="E4" s="4" t="s">
        <v>33</v>
      </c>
      <c r="F4" t="b">
        <v>0</v>
      </c>
      <c r="G4" s="2" t="s">
        <v>20</v>
      </c>
      <c r="H4" t="s">
        <v>21</v>
      </c>
      <c r="I4">
        <v>1</v>
      </c>
      <c r="J4" s="3">
        <v>45973</v>
      </c>
      <c r="K4" s="2" t="s">
        <v>34</v>
      </c>
      <c r="L4">
        <v>0</v>
      </c>
      <c r="M4">
        <v>0</v>
      </c>
      <c r="N4" t="s">
        <v>35</v>
      </c>
      <c r="O4" t="s">
        <v>36</v>
      </c>
    </row>
    <row r="5" spans="1:16" ht="15.6">
      <c r="A5" t="s">
        <v>37</v>
      </c>
      <c r="B5">
        <v>549</v>
      </c>
      <c r="C5" t="s">
        <v>38</v>
      </c>
      <c r="D5" t="s">
        <v>18</v>
      </c>
      <c r="E5" s="4" t="s">
        <v>39</v>
      </c>
      <c r="F5" t="b">
        <v>0</v>
      </c>
      <c r="G5" s="2" t="s">
        <v>20</v>
      </c>
      <c r="H5" t="s">
        <v>21</v>
      </c>
      <c r="I5">
        <v>1</v>
      </c>
      <c r="J5" s="3">
        <v>45986</v>
      </c>
      <c r="K5" s="2" t="s">
        <v>40</v>
      </c>
      <c r="L5">
        <v>0</v>
      </c>
      <c r="M5">
        <v>9</v>
      </c>
      <c r="O5" t="s">
        <v>41</v>
      </c>
    </row>
    <row r="6" spans="1:16">
      <c r="A6" t="s">
        <v>42</v>
      </c>
      <c r="B6">
        <v>526</v>
      </c>
      <c r="C6" t="s">
        <v>43</v>
      </c>
      <c r="D6" t="s">
        <v>44</v>
      </c>
      <c r="E6" s="9" t="s">
        <v>45</v>
      </c>
      <c r="F6" t="b">
        <v>1</v>
      </c>
      <c r="G6" t="s">
        <v>46</v>
      </c>
      <c r="H6" s="7" t="s">
        <v>47</v>
      </c>
      <c r="I6">
        <v>20250402</v>
      </c>
      <c r="J6" s="3">
        <v>45986</v>
      </c>
      <c r="K6" s="2" t="s">
        <v>48</v>
      </c>
      <c r="L6">
        <v>526</v>
      </c>
      <c r="M6">
        <v>526</v>
      </c>
      <c r="O6" s="2" t="s">
        <v>49</v>
      </c>
    </row>
    <row r="7" spans="1:16" ht="15.6">
      <c r="A7" t="s">
        <v>50</v>
      </c>
      <c r="B7">
        <v>523</v>
      </c>
      <c r="C7" t="s">
        <v>51</v>
      </c>
      <c r="D7" t="s">
        <v>18</v>
      </c>
      <c r="E7" s="4" t="s">
        <v>52</v>
      </c>
      <c r="F7" t="b">
        <v>0</v>
      </c>
      <c r="G7" s="2" t="s">
        <v>20</v>
      </c>
      <c r="H7" t="s">
        <v>21</v>
      </c>
      <c r="I7">
        <v>1</v>
      </c>
      <c r="J7" s="3">
        <v>45973</v>
      </c>
      <c r="K7" s="2" t="s">
        <v>53</v>
      </c>
      <c r="L7">
        <v>0</v>
      </c>
      <c r="M7">
        <v>0</v>
      </c>
      <c r="O7" t="s">
        <v>54</v>
      </c>
    </row>
    <row r="8" spans="1:16">
      <c r="A8" t="s">
        <v>55</v>
      </c>
      <c r="B8">
        <v>255</v>
      </c>
      <c r="C8" t="s">
        <v>56</v>
      </c>
      <c r="D8" t="s">
        <v>18</v>
      </c>
      <c r="E8" s="9" t="s">
        <v>57</v>
      </c>
      <c r="F8" t="b">
        <v>0</v>
      </c>
      <c r="G8" s="2" t="s">
        <v>20</v>
      </c>
      <c r="H8" t="s">
        <v>21</v>
      </c>
      <c r="I8">
        <v>3</v>
      </c>
      <c r="J8" s="3">
        <v>45994</v>
      </c>
      <c r="K8" s="2" t="s">
        <v>58</v>
      </c>
      <c r="L8">
        <v>0</v>
      </c>
      <c r="M8">
        <v>0</v>
      </c>
      <c r="O8" t="s">
        <v>59</v>
      </c>
    </row>
    <row r="9" spans="1:16">
      <c r="A9" t="s">
        <v>60</v>
      </c>
      <c r="B9">
        <v>476</v>
      </c>
      <c r="C9" t="s">
        <v>61</v>
      </c>
      <c r="D9" t="s">
        <v>18</v>
      </c>
      <c r="E9" s="9" t="s">
        <v>62</v>
      </c>
      <c r="F9" t="b">
        <v>0</v>
      </c>
      <c r="G9" s="2" t="s">
        <v>20</v>
      </c>
      <c r="H9" t="s">
        <v>21</v>
      </c>
      <c r="I9">
        <v>1</v>
      </c>
      <c r="J9" s="3">
        <v>45994</v>
      </c>
      <c r="K9" s="2" t="s">
        <v>63</v>
      </c>
      <c r="L9">
        <v>0</v>
      </c>
      <c r="M9">
        <v>0</v>
      </c>
      <c r="O9" t="s">
        <v>64</v>
      </c>
    </row>
    <row r="10" spans="1:16">
      <c r="A10" t="s">
        <v>65</v>
      </c>
      <c r="B10">
        <v>289</v>
      </c>
      <c r="C10" t="s">
        <v>66</v>
      </c>
      <c r="D10" t="s">
        <v>18</v>
      </c>
      <c r="E10" s="9" t="s">
        <v>67</v>
      </c>
      <c r="F10" t="b">
        <v>0</v>
      </c>
      <c r="G10" s="2" t="s">
        <v>20</v>
      </c>
      <c r="H10" t="s">
        <v>21</v>
      </c>
      <c r="I10">
        <v>2</v>
      </c>
      <c r="J10" s="3">
        <v>45994</v>
      </c>
      <c r="K10" s="2" t="s">
        <v>68</v>
      </c>
      <c r="L10">
        <v>0</v>
      </c>
      <c r="M10">
        <v>0</v>
      </c>
      <c r="O10" t="s">
        <v>69</v>
      </c>
    </row>
    <row r="11" spans="1:16">
      <c r="A11" t="s">
        <v>70</v>
      </c>
      <c r="B11">
        <v>305</v>
      </c>
      <c r="C11" t="s">
        <v>71</v>
      </c>
      <c r="D11" t="s">
        <v>18</v>
      </c>
      <c r="E11" s="9" t="s">
        <v>72</v>
      </c>
      <c r="F11" t="b">
        <v>0</v>
      </c>
      <c r="G11" s="2" t="s">
        <v>20</v>
      </c>
      <c r="H11" t="s">
        <v>21</v>
      </c>
      <c r="I11">
        <v>1</v>
      </c>
      <c r="J11" s="3">
        <v>45994</v>
      </c>
      <c r="K11" s="2" t="s">
        <v>73</v>
      </c>
      <c r="L11">
        <v>0</v>
      </c>
      <c r="M11">
        <v>0</v>
      </c>
      <c r="O11" t="s">
        <v>74</v>
      </c>
    </row>
    <row r="12" spans="1:16" ht="15.6">
      <c r="A12" t="s">
        <v>75</v>
      </c>
      <c r="B12">
        <v>20</v>
      </c>
      <c r="C12" t="s">
        <v>76</v>
      </c>
      <c r="D12" t="s">
        <v>18</v>
      </c>
      <c r="E12" s="4" t="s">
        <v>77</v>
      </c>
      <c r="F12" t="b">
        <v>0</v>
      </c>
      <c r="H12" s="4" t="s">
        <v>78</v>
      </c>
      <c r="I12">
        <v>0</v>
      </c>
      <c r="J12" s="3">
        <v>45973</v>
      </c>
      <c r="K12" t="s">
        <v>79</v>
      </c>
      <c r="L12">
        <v>0</v>
      </c>
      <c r="M12">
        <v>20</v>
      </c>
      <c r="O12" t="s">
        <v>79</v>
      </c>
    </row>
    <row r="13" spans="1:16" ht="15.6">
      <c r="A13" t="s">
        <v>80</v>
      </c>
      <c r="B13">
        <v>75</v>
      </c>
      <c r="C13" t="s">
        <v>81</v>
      </c>
      <c r="D13" t="s">
        <v>18</v>
      </c>
      <c r="E13" s="4" t="s">
        <v>82</v>
      </c>
      <c r="F13" t="b">
        <v>0</v>
      </c>
      <c r="H13" s="4" t="s">
        <v>78</v>
      </c>
      <c r="I13">
        <v>0</v>
      </c>
      <c r="J13" s="3">
        <v>45973</v>
      </c>
      <c r="K13" t="s">
        <v>79</v>
      </c>
      <c r="L13">
        <v>0</v>
      </c>
      <c r="M13">
        <v>4</v>
      </c>
      <c r="O13" t="s">
        <v>79</v>
      </c>
    </row>
    <row r="14" spans="1:16" ht="15.6">
      <c r="A14" t="s">
        <v>83</v>
      </c>
      <c r="B14">
        <v>228</v>
      </c>
      <c r="C14" t="s">
        <v>84</v>
      </c>
      <c r="D14" t="s">
        <v>18</v>
      </c>
      <c r="E14" s="4" t="s">
        <v>85</v>
      </c>
      <c r="F14" t="b">
        <v>0</v>
      </c>
      <c r="H14" t="s">
        <v>86</v>
      </c>
      <c r="I14" t="s">
        <v>87</v>
      </c>
      <c r="J14" s="3">
        <v>45973</v>
      </c>
      <c r="K14" s="2" t="s">
        <v>88</v>
      </c>
      <c r="L14">
        <v>0</v>
      </c>
      <c r="M14">
        <v>0</v>
      </c>
      <c r="N14" t="s">
        <v>89</v>
      </c>
      <c r="O14" t="s">
        <v>90</v>
      </c>
      <c r="P14" t="s">
        <v>91</v>
      </c>
    </row>
    <row r="15" spans="1:16" ht="15.6">
      <c r="A15" t="s">
        <v>92</v>
      </c>
      <c r="B15">
        <v>14</v>
      </c>
      <c r="C15" t="s">
        <v>93</v>
      </c>
      <c r="D15" t="s">
        <v>18</v>
      </c>
      <c r="E15" s="4" t="s">
        <v>85</v>
      </c>
      <c r="F15" t="b">
        <v>0</v>
      </c>
      <c r="H15" t="s">
        <v>86</v>
      </c>
      <c r="I15">
        <v>1</v>
      </c>
      <c r="J15" s="3">
        <v>45973</v>
      </c>
      <c r="K15" s="2" t="s">
        <v>94</v>
      </c>
      <c r="L15">
        <v>0</v>
      </c>
      <c r="M15">
        <v>0</v>
      </c>
      <c r="N15" t="s">
        <v>89</v>
      </c>
      <c r="O15" t="s">
        <v>95</v>
      </c>
      <c r="P15" t="s">
        <v>91</v>
      </c>
    </row>
    <row r="16" spans="1:16" ht="15.6">
      <c r="A16" t="s">
        <v>96</v>
      </c>
      <c r="B16">
        <v>8</v>
      </c>
      <c r="C16" t="s">
        <v>97</v>
      </c>
      <c r="D16" t="s">
        <v>18</v>
      </c>
      <c r="E16" s="4" t="s">
        <v>85</v>
      </c>
      <c r="F16" t="b">
        <v>0</v>
      </c>
      <c r="H16" t="s">
        <v>86</v>
      </c>
      <c r="I16">
        <v>1</v>
      </c>
      <c r="J16" s="3">
        <v>45973</v>
      </c>
      <c r="K16" s="2" t="s">
        <v>98</v>
      </c>
      <c r="L16">
        <v>0</v>
      </c>
      <c r="M16">
        <v>0</v>
      </c>
      <c r="N16" t="s">
        <v>89</v>
      </c>
      <c r="O16" t="s">
        <v>99</v>
      </c>
      <c r="P16" t="s">
        <v>91</v>
      </c>
    </row>
    <row r="17" spans="1:15" ht="15.6">
      <c r="A17" t="s">
        <v>100</v>
      </c>
      <c r="B17">
        <v>539</v>
      </c>
      <c r="C17" t="s">
        <v>101</v>
      </c>
      <c r="D17" t="s">
        <v>18</v>
      </c>
      <c r="E17" s="4" t="s">
        <v>102</v>
      </c>
      <c r="F17" t="b">
        <v>0</v>
      </c>
      <c r="H17" t="s">
        <v>103</v>
      </c>
      <c r="I17">
        <v>0</v>
      </c>
      <c r="J17" s="3">
        <v>45973</v>
      </c>
      <c r="K17" s="5" t="s">
        <v>104</v>
      </c>
      <c r="L17">
        <v>0</v>
      </c>
      <c r="M17">
        <v>0</v>
      </c>
      <c r="N17" t="s">
        <v>105</v>
      </c>
      <c r="O17" t="s">
        <v>79</v>
      </c>
    </row>
    <row r="18" spans="1:15">
      <c r="A18" t="s">
        <v>106</v>
      </c>
      <c r="B18">
        <v>12901</v>
      </c>
      <c r="C18" t="s">
        <v>107</v>
      </c>
      <c r="D18" t="s">
        <v>18</v>
      </c>
      <c r="E18" s="9" t="s">
        <v>108</v>
      </c>
      <c r="F18" t="b">
        <v>1</v>
      </c>
      <c r="G18" t="s">
        <v>109</v>
      </c>
      <c r="H18" s="7" t="s">
        <v>47</v>
      </c>
      <c r="I18">
        <v>1.22</v>
      </c>
      <c r="J18" s="3">
        <v>45973</v>
      </c>
      <c r="K18" s="2" t="s">
        <v>110</v>
      </c>
      <c r="L18">
        <v>0</v>
      </c>
      <c r="M18">
        <v>82</v>
      </c>
      <c r="O18" t="s">
        <v>111</v>
      </c>
    </row>
    <row r="19" spans="1:15" ht="22.9" customHeight="1">
      <c r="A19" t="s">
        <v>112</v>
      </c>
      <c r="B19">
        <v>17991</v>
      </c>
      <c r="C19" t="s">
        <v>113</v>
      </c>
      <c r="D19" t="s">
        <v>114</v>
      </c>
      <c r="E19" s="10" t="s">
        <v>115</v>
      </c>
      <c r="F19" t="b">
        <v>1</v>
      </c>
      <c r="H19" s="7" t="s">
        <v>47</v>
      </c>
      <c r="I19" t="s">
        <v>87</v>
      </c>
      <c r="J19" s="3">
        <v>45973</v>
      </c>
      <c r="K19" t="s">
        <v>116</v>
      </c>
      <c r="L19">
        <v>17991</v>
      </c>
      <c r="M19">
        <v>15482</v>
      </c>
      <c r="O19" t="s">
        <v>117</v>
      </c>
    </row>
    <row r="20" spans="1:15" ht="15.6">
      <c r="A20" t="s">
        <v>118</v>
      </c>
      <c r="B20">
        <v>11213</v>
      </c>
      <c r="C20" t="s">
        <v>119</v>
      </c>
      <c r="D20" t="s">
        <v>44</v>
      </c>
      <c r="E20" s="4" t="s">
        <v>120</v>
      </c>
      <c r="F20" t="b">
        <v>1</v>
      </c>
      <c r="H20" s="7" t="s">
        <v>47</v>
      </c>
      <c r="I20" t="s">
        <v>87</v>
      </c>
      <c r="J20" s="3">
        <v>45973</v>
      </c>
      <c r="K20" t="s">
        <v>116</v>
      </c>
      <c r="L20">
        <v>11213</v>
      </c>
      <c r="M20">
        <v>10963</v>
      </c>
      <c r="O20" t="s">
        <v>121</v>
      </c>
    </row>
    <row r="21" spans="1:15" ht="15.6">
      <c r="A21" t="s">
        <v>122</v>
      </c>
      <c r="B21">
        <v>125</v>
      </c>
      <c r="C21" t="s">
        <v>123</v>
      </c>
      <c r="D21" t="s">
        <v>18</v>
      </c>
      <c r="E21" s="4" t="s">
        <v>124</v>
      </c>
      <c r="F21" t="b">
        <v>0</v>
      </c>
      <c r="G21" s="2" t="s">
        <v>20</v>
      </c>
      <c r="H21" t="s">
        <v>21</v>
      </c>
      <c r="I21">
        <v>3</v>
      </c>
      <c r="J21" s="3">
        <v>45994</v>
      </c>
      <c r="K21" s="2" t="s">
        <v>125</v>
      </c>
      <c r="L21">
        <v>0</v>
      </c>
      <c r="M21">
        <v>0</v>
      </c>
      <c r="O21" t="s">
        <v>126</v>
      </c>
    </row>
    <row r="22" spans="1:15" ht="15.6">
      <c r="A22" t="s">
        <v>127</v>
      </c>
      <c r="B22">
        <v>566</v>
      </c>
      <c r="C22" t="s">
        <v>128</v>
      </c>
      <c r="D22" t="s">
        <v>18</v>
      </c>
      <c r="E22" s="4" t="s">
        <v>129</v>
      </c>
      <c r="F22" t="b">
        <v>0</v>
      </c>
      <c r="G22" s="2" t="s">
        <v>20</v>
      </c>
      <c r="H22" t="s">
        <v>21</v>
      </c>
      <c r="I22">
        <v>1</v>
      </c>
      <c r="J22" s="3">
        <v>45994</v>
      </c>
      <c r="K22" s="2" t="s">
        <v>130</v>
      </c>
      <c r="L22">
        <v>0</v>
      </c>
      <c r="M22">
        <v>0</v>
      </c>
      <c r="O22" t="s">
        <v>131</v>
      </c>
    </row>
    <row r="23" spans="1:15">
      <c r="A23" t="s">
        <v>132</v>
      </c>
      <c r="B23">
        <v>170</v>
      </c>
      <c r="C23" t="s">
        <v>133</v>
      </c>
      <c r="D23" t="s">
        <v>18</v>
      </c>
      <c r="E23" s="9" t="s">
        <v>67</v>
      </c>
      <c r="F23" t="b">
        <v>0</v>
      </c>
      <c r="G23" s="2" t="s">
        <v>20</v>
      </c>
      <c r="H23" t="s">
        <v>21</v>
      </c>
      <c r="I23">
        <v>1</v>
      </c>
      <c r="J23" s="3">
        <v>45994</v>
      </c>
      <c r="K23" s="2" t="s">
        <v>134</v>
      </c>
      <c r="L23">
        <v>0</v>
      </c>
      <c r="M23">
        <v>0</v>
      </c>
      <c r="O23" t="s">
        <v>135</v>
      </c>
    </row>
    <row r="24" spans="1:15" ht="17.25" customHeight="1">
      <c r="A24" t="s">
        <v>136</v>
      </c>
      <c r="B24">
        <v>107</v>
      </c>
      <c r="C24" t="s">
        <v>137</v>
      </c>
      <c r="D24" t="s">
        <v>18</v>
      </c>
      <c r="E24" s="9" t="s">
        <v>102</v>
      </c>
      <c r="F24" t="b">
        <v>0</v>
      </c>
      <c r="G24" s="2" t="s">
        <v>20</v>
      </c>
      <c r="H24" t="s">
        <v>21</v>
      </c>
      <c r="I24">
        <v>1</v>
      </c>
      <c r="J24" s="3">
        <v>45994</v>
      </c>
      <c r="K24" s="2" t="s">
        <v>138</v>
      </c>
      <c r="L24">
        <v>0</v>
      </c>
      <c r="M24">
        <v>0</v>
      </c>
      <c r="O24" t="s">
        <v>139</v>
      </c>
    </row>
    <row r="25" spans="1:15" ht="18.75" customHeight="1">
      <c r="A25" t="s">
        <v>140</v>
      </c>
      <c r="B25">
        <v>1615</v>
      </c>
      <c r="C25" t="s">
        <v>107</v>
      </c>
      <c r="D25" t="s">
        <v>18</v>
      </c>
      <c r="E25" s="10" t="s">
        <v>141</v>
      </c>
      <c r="F25" t="b">
        <v>1</v>
      </c>
      <c r="G25" s="2" t="s">
        <v>142</v>
      </c>
      <c r="H25" t="s">
        <v>86</v>
      </c>
      <c r="I25" s="7">
        <v>2</v>
      </c>
      <c r="J25" s="8">
        <v>45973</v>
      </c>
      <c r="K25" t="s">
        <v>143</v>
      </c>
      <c r="L25">
        <v>0</v>
      </c>
      <c r="M25">
        <v>0</v>
      </c>
      <c r="O25" t="s">
        <v>144</v>
      </c>
    </row>
    <row r="26" spans="1:15" ht="15.6">
      <c r="A26" t="s">
        <v>145</v>
      </c>
      <c r="B26">
        <v>394</v>
      </c>
      <c r="C26" t="s">
        <v>146</v>
      </c>
      <c r="D26" t="s">
        <v>18</v>
      </c>
      <c r="E26" s="4" t="s">
        <v>147</v>
      </c>
      <c r="F26" t="b">
        <v>0</v>
      </c>
      <c r="G26" s="2" t="s">
        <v>20</v>
      </c>
      <c r="H26" t="s">
        <v>21</v>
      </c>
      <c r="I26">
        <v>1</v>
      </c>
      <c r="J26" s="3">
        <v>45994</v>
      </c>
      <c r="K26" s="2" t="s">
        <v>148</v>
      </c>
      <c r="L26">
        <v>0</v>
      </c>
      <c r="M26">
        <v>0</v>
      </c>
      <c r="O26" t="s">
        <v>149</v>
      </c>
    </row>
    <row r="27" spans="1:15" ht="15.6">
      <c r="A27" t="s">
        <v>150</v>
      </c>
      <c r="B27">
        <v>233</v>
      </c>
      <c r="C27" t="s">
        <v>151</v>
      </c>
      <c r="D27" t="s">
        <v>18</v>
      </c>
      <c r="E27" s="4" t="s">
        <v>152</v>
      </c>
      <c r="F27" t="b">
        <v>0</v>
      </c>
      <c r="G27" s="2" t="s">
        <v>20</v>
      </c>
      <c r="H27" t="s">
        <v>21</v>
      </c>
      <c r="I27">
        <v>1</v>
      </c>
      <c r="J27" s="3">
        <v>45994</v>
      </c>
      <c r="K27" s="2" t="s">
        <v>153</v>
      </c>
      <c r="L27">
        <v>0</v>
      </c>
      <c r="M27">
        <v>0</v>
      </c>
      <c r="N27" t="s">
        <v>154</v>
      </c>
      <c r="O27" t="s">
        <v>155</v>
      </c>
    </row>
    <row r="28" spans="1:15">
      <c r="A28" t="s">
        <v>156</v>
      </c>
      <c r="B28">
        <v>196</v>
      </c>
      <c r="C28" t="s">
        <v>157</v>
      </c>
      <c r="D28" t="s">
        <v>18</v>
      </c>
      <c r="E28" s="9" t="s">
        <v>67</v>
      </c>
      <c r="F28" t="b">
        <v>0</v>
      </c>
      <c r="G28" s="2" t="s">
        <v>20</v>
      </c>
      <c r="H28" t="s">
        <v>21</v>
      </c>
      <c r="I28">
        <v>1</v>
      </c>
      <c r="J28" s="3">
        <v>45994</v>
      </c>
      <c r="K28" s="2" t="s">
        <v>158</v>
      </c>
      <c r="L28">
        <v>0</v>
      </c>
      <c r="M28">
        <v>0</v>
      </c>
      <c r="N28" t="s">
        <v>159</v>
      </c>
      <c r="O28" t="s">
        <v>160</v>
      </c>
    </row>
    <row r="29" spans="1:15">
      <c r="A29" t="s">
        <v>161</v>
      </c>
      <c r="B29">
        <v>290</v>
      </c>
      <c r="C29" t="s">
        <v>162</v>
      </c>
      <c r="D29" t="s">
        <v>18</v>
      </c>
      <c r="E29" s="9" t="s">
        <v>67</v>
      </c>
      <c r="F29" t="b">
        <v>0</v>
      </c>
      <c r="G29" s="2" t="s">
        <v>20</v>
      </c>
      <c r="H29" t="s">
        <v>21</v>
      </c>
      <c r="I29">
        <v>1</v>
      </c>
      <c r="J29" s="3">
        <v>45994</v>
      </c>
      <c r="K29" s="2" t="s">
        <v>163</v>
      </c>
      <c r="L29">
        <v>0</v>
      </c>
      <c r="M29">
        <v>0</v>
      </c>
      <c r="N29" t="s">
        <v>164</v>
      </c>
      <c r="O29" t="s">
        <v>165</v>
      </c>
    </row>
    <row r="30" spans="1:15">
      <c r="A30" t="s">
        <v>166</v>
      </c>
      <c r="B30">
        <v>338</v>
      </c>
      <c r="C30" t="s">
        <v>167</v>
      </c>
      <c r="D30" t="s">
        <v>18</v>
      </c>
      <c r="E30" s="9" t="s">
        <v>168</v>
      </c>
      <c r="F30" t="b">
        <v>0</v>
      </c>
      <c r="G30" s="2" t="s">
        <v>20</v>
      </c>
      <c r="H30" t="s">
        <v>21</v>
      </c>
      <c r="I30">
        <v>1</v>
      </c>
      <c r="J30" s="3">
        <v>45994</v>
      </c>
      <c r="K30" s="2" t="s">
        <v>169</v>
      </c>
      <c r="L30">
        <v>0</v>
      </c>
      <c r="M30">
        <v>0</v>
      </c>
      <c r="N30" t="s">
        <v>170</v>
      </c>
      <c r="O30" t="s">
        <v>171</v>
      </c>
    </row>
    <row r="31" spans="1:15">
      <c r="A31" t="s">
        <v>172</v>
      </c>
      <c r="B31">
        <v>330</v>
      </c>
      <c r="C31" t="s">
        <v>173</v>
      </c>
      <c r="D31" t="s">
        <v>18</v>
      </c>
      <c r="E31" s="9" t="s">
        <v>174</v>
      </c>
      <c r="F31" t="b">
        <v>0</v>
      </c>
      <c r="G31" s="2" t="s">
        <v>20</v>
      </c>
      <c r="H31" t="s">
        <v>21</v>
      </c>
      <c r="I31">
        <v>1</v>
      </c>
      <c r="J31" s="3">
        <v>45994</v>
      </c>
      <c r="K31" s="2" t="s">
        <v>175</v>
      </c>
      <c r="L31">
        <v>0</v>
      </c>
      <c r="M31">
        <v>0</v>
      </c>
      <c r="N31" s="2" t="s">
        <v>176</v>
      </c>
      <c r="O31" t="s">
        <v>177</v>
      </c>
    </row>
    <row r="32" spans="1:15" ht="15.6">
      <c r="A32" t="s">
        <v>178</v>
      </c>
      <c r="B32">
        <v>470</v>
      </c>
      <c r="C32" t="s">
        <v>179</v>
      </c>
      <c r="D32" t="s">
        <v>18</v>
      </c>
      <c r="E32" s="4" t="s">
        <v>152</v>
      </c>
      <c r="F32" t="b">
        <v>0</v>
      </c>
      <c r="G32" s="2" t="s">
        <v>20</v>
      </c>
      <c r="H32" t="s">
        <v>21</v>
      </c>
      <c r="I32">
        <v>1</v>
      </c>
      <c r="J32" s="3">
        <v>45994</v>
      </c>
      <c r="K32" s="2" t="s">
        <v>180</v>
      </c>
      <c r="L32">
        <v>0</v>
      </c>
      <c r="M32">
        <v>0</v>
      </c>
      <c r="O32" t="s">
        <v>181</v>
      </c>
    </row>
    <row r="33" spans="1:15">
      <c r="A33" t="s">
        <v>182</v>
      </c>
      <c r="B33">
        <v>542</v>
      </c>
      <c r="C33" t="s">
        <v>183</v>
      </c>
      <c r="D33" t="s">
        <v>18</v>
      </c>
      <c r="E33" s="9" t="s">
        <v>174</v>
      </c>
      <c r="F33" t="b">
        <v>0</v>
      </c>
      <c r="G33" s="2" t="s">
        <v>20</v>
      </c>
      <c r="H33" t="s">
        <v>21</v>
      </c>
      <c r="I33">
        <v>1</v>
      </c>
      <c r="J33" s="3">
        <v>45994</v>
      </c>
      <c r="K33" s="2" t="s">
        <v>184</v>
      </c>
      <c r="L33">
        <v>0</v>
      </c>
      <c r="M33">
        <v>0</v>
      </c>
      <c r="N33" t="s">
        <v>185</v>
      </c>
      <c r="O33" t="s">
        <v>186</v>
      </c>
    </row>
    <row r="34" spans="1:15" ht="15.6">
      <c r="A34" t="s">
        <v>187</v>
      </c>
      <c r="B34">
        <v>73</v>
      </c>
      <c r="C34" t="s">
        <v>188</v>
      </c>
      <c r="D34" t="s">
        <v>18</v>
      </c>
      <c r="E34" s="4" t="s">
        <v>102</v>
      </c>
      <c r="F34" t="b">
        <v>0</v>
      </c>
      <c r="G34" s="2" t="s">
        <v>20</v>
      </c>
      <c r="H34" t="s">
        <v>21</v>
      </c>
      <c r="I34">
        <v>1</v>
      </c>
      <c r="J34" s="3">
        <v>45994</v>
      </c>
      <c r="K34" s="2" t="s">
        <v>189</v>
      </c>
      <c r="L34">
        <v>0</v>
      </c>
      <c r="M34">
        <v>0</v>
      </c>
      <c r="O34" t="s">
        <v>190</v>
      </c>
    </row>
    <row r="35" spans="1:15" ht="15.6">
      <c r="A35" t="s">
        <v>191</v>
      </c>
      <c r="B35">
        <v>17</v>
      </c>
      <c r="C35" t="s">
        <v>192</v>
      </c>
      <c r="D35" t="s">
        <v>193</v>
      </c>
      <c r="E35" s="4" t="s">
        <v>194</v>
      </c>
      <c r="F35" t="b">
        <v>0</v>
      </c>
      <c r="H35" t="s">
        <v>86</v>
      </c>
      <c r="I35" t="s">
        <v>87</v>
      </c>
      <c r="J35" s="3">
        <v>45973</v>
      </c>
      <c r="K35" s="2" t="s">
        <v>195</v>
      </c>
      <c r="L35">
        <v>0</v>
      </c>
      <c r="M35">
        <v>17</v>
      </c>
      <c r="N35" s="2" t="s">
        <v>196</v>
      </c>
      <c r="O35" t="s">
        <v>197</v>
      </c>
    </row>
    <row r="36" spans="1:15" ht="15.6">
      <c r="A36" t="s">
        <v>198</v>
      </c>
      <c r="B36">
        <v>29</v>
      </c>
      <c r="C36" t="s">
        <v>199</v>
      </c>
      <c r="D36" t="s">
        <v>193</v>
      </c>
      <c r="E36" s="4" t="s">
        <v>194</v>
      </c>
      <c r="F36" t="b">
        <v>0</v>
      </c>
      <c r="H36" t="s">
        <v>86</v>
      </c>
      <c r="I36" t="s">
        <v>87</v>
      </c>
      <c r="J36" s="3">
        <v>45973</v>
      </c>
      <c r="K36" t="s">
        <v>195</v>
      </c>
      <c r="L36">
        <v>0</v>
      </c>
      <c r="M36">
        <v>29</v>
      </c>
      <c r="N36" t="s">
        <v>200</v>
      </c>
      <c r="O36" t="s">
        <v>197</v>
      </c>
    </row>
    <row r="37" spans="1:15" ht="15.6">
      <c r="A37" t="s">
        <v>201</v>
      </c>
      <c r="B37">
        <v>112</v>
      </c>
      <c r="C37" t="s">
        <v>202</v>
      </c>
      <c r="D37" t="s">
        <v>18</v>
      </c>
      <c r="E37" s="4" t="s">
        <v>102</v>
      </c>
      <c r="F37" t="b">
        <v>0</v>
      </c>
      <c r="G37" s="2" t="s">
        <v>20</v>
      </c>
      <c r="H37" t="s">
        <v>21</v>
      </c>
      <c r="I37">
        <v>1</v>
      </c>
      <c r="J37" s="3">
        <v>45994</v>
      </c>
      <c r="K37" s="2" t="s">
        <v>203</v>
      </c>
      <c r="L37">
        <v>0</v>
      </c>
      <c r="M37">
        <v>0</v>
      </c>
      <c r="O37" t="s">
        <v>204</v>
      </c>
    </row>
    <row r="38" spans="1:15" ht="15.6">
      <c r="A38" t="s">
        <v>205</v>
      </c>
      <c r="B38">
        <v>305</v>
      </c>
      <c r="C38" t="s">
        <v>206</v>
      </c>
      <c r="D38" t="s">
        <v>18</v>
      </c>
      <c r="E38" s="4" t="s">
        <v>102</v>
      </c>
      <c r="F38" t="b">
        <v>0</v>
      </c>
      <c r="G38" s="2" t="s">
        <v>20</v>
      </c>
      <c r="H38" t="s">
        <v>21</v>
      </c>
      <c r="I38">
        <v>1</v>
      </c>
      <c r="J38" s="3">
        <v>45994</v>
      </c>
      <c r="K38" s="2" t="s">
        <v>207</v>
      </c>
      <c r="L38">
        <v>0</v>
      </c>
      <c r="M38">
        <v>0</v>
      </c>
      <c r="O38" t="s">
        <v>208</v>
      </c>
    </row>
    <row r="39" spans="1:15" ht="15.6">
      <c r="A39" t="s">
        <v>209</v>
      </c>
      <c r="B39">
        <v>296</v>
      </c>
      <c r="C39" t="s">
        <v>210</v>
      </c>
      <c r="D39" t="s">
        <v>18</v>
      </c>
      <c r="E39" s="4" t="s">
        <v>102</v>
      </c>
      <c r="F39" t="b">
        <v>0</v>
      </c>
      <c r="G39" s="2" t="s">
        <v>20</v>
      </c>
      <c r="H39" t="s">
        <v>21</v>
      </c>
      <c r="I39">
        <v>1</v>
      </c>
      <c r="J39" s="3">
        <v>45994</v>
      </c>
      <c r="K39" s="2" t="s">
        <v>211</v>
      </c>
      <c r="L39">
        <v>0</v>
      </c>
      <c r="M39">
        <v>0</v>
      </c>
      <c r="O39" t="s">
        <v>212</v>
      </c>
    </row>
    <row r="40" spans="1:15" ht="15" customHeight="1">
      <c r="A40" t="s">
        <v>213</v>
      </c>
      <c r="B40">
        <v>226</v>
      </c>
      <c r="C40" t="s">
        <v>214</v>
      </c>
      <c r="D40" t="s">
        <v>18</v>
      </c>
      <c r="E40" s="4" t="s">
        <v>102</v>
      </c>
      <c r="F40" t="b">
        <v>0</v>
      </c>
      <c r="G40" s="2" t="s">
        <v>20</v>
      </c>
      <c r="H40" t="s">
        <v>21</v>
      </c>
      <c r="I40">
        <v>1</v>
      </c>
      <c r="J40" s="3">
        <v>45994</v>
      </c>
      <c r="K40" s="2" t="s">
        <v>215</v>
      </c>
      <c r="L40">
        <v>0</v>
      </c>
      <c r="M40">
        <v>0</v>
      </c>
      <c r="O40" t="s">
        <v>216</v>
      </c>
    </row>
    <row r="41" spans="1:15" ht="15" customHeight="1">
      <c r="A41" t="s">
        <v>217</v>
      </c>
      <c r="B41">
        <v>346</v>
      </c>
      <c r="C41" t="s">
        <v>218</v>
      </c>
      <c r="D41" t="s">
        <v>18</v>
      </c>
      <c r="E41" s="4" t="s">
        <v>102</v>
      </c>
      <c r="F41" t="b">
        <v>0</v>
      </c>
      <c r="G41" s="2" t="s">
        <v>20</v>
      </c>
      <c r="H41" t="s">
        <v>21</v>
      </c>
      <c r="I41">
        <v>1</v>
      </c>
      <c r="J41" s="3">
        <v>45994</v>
      </c>
      <c r="K41" s="2" t="s">
        <v>219</v>
      </c>
      <c r="L41">
        <v>0</v>
      </c>
      <c r="M41">
        <v>0</v>
      </c>
      <c r="O41" t="s">
        <v>220</v>
      </c>
    </row>
    <row r="42" spans="1:15" ht="15" customHeight="1">
      <c r="A42" t="s">
        <v>221</v>
      </c>
      <c r="B42">
        <v>369</v>
      </c>
      <c r="C42" t="s">
        <v>222</v>
      </c>
      <c r="D42" t="s">
        <v>18</v>
      </c>
      <c r="E42" s="4" t="s">
        <v>102</v>
      </c>
      <c r="F42" t="b">
        <v>0</v>
      </c>
      <c r="G42" s="2" t="s">
        <v>20</v>
      </c>
      <c r="H42" t="s">
        <v>21</v>
      </c>
      <c r="I42">
        <v>1</v>
      </c>
      <c r="J42" s="3">
        <v>45994</v>
      </c>
      <c r="K42" s="2" t="s">
        <v>223</v>
      </c>
      <c r="L42">
        <v>0</v>
      </c>
      <c r="M42">
        <v>0</v>
      </c>
      <c r="O42" t="s">
        <v>224</v>
      </c>
    </row>
    <row r="43" spans="1:15" ht="15.6">
      <c r="A43" t="s">
        <v>225</v>
      </c>
      <c r="B43">
        <v>472</v>
      </c>
      <c r="C43" t="s">
        <v>226</v>
      </c>
      <c r="D43" t="s">
        <v>18</v>
      </c>
      <c r="E43" s="4" t="s">
        <v>102</v>
      </c>
      <c r="F43" t="b">
        <v>0</v>
      </c>
      <c r="G43" s="2" t="s">
        <v>20</v>
      </c>
      <c r="H43" t="s">
        <v>21</v>
      </c>
      <c r="I43">
        <v>3</v>
      </c>
      <c r="J43" s="3">
        <v>45994</v>
      </c>
      <c r="K43" s="2" t="s">
        <v>227</v>
      </c>
      <c r="L43">
        <v>0</v>
      </c>
      <c r="M43">
        <v>0</v>
      </c>
      <c r="O43" t="s">
        <v>228</v>
      </c>
    </row>
    <row r="44" spans="1:15" ht="15.6">
      <c r="A44" t="s">
        <v>229</v>
      </c>
      <c r="B44">
        <v>13943</v>
      </c>
      <c r="C44" t="s">
        <v>230</v>
      </c>
      <c r="D44" t="s">
        <v>18</v>
      </c>
      <c r="E44" s="4" t="s">
        <v>231</v>
      </c>
      <c r="F44" t="b">
        <v>1</v>
      </c>
      <c r="H44" t="s">
        <v>86</v>
      </c>
      <c r="I44">
        <v>5</v>
      </c>
      <c r="J44" s="3">
        <v>45973</v>
      </c>
      <c r="K44" s="2" t="s">
        <v>232</v>
      </c>
      <c r="L44">
        <v>0</v>
      </c>
      <c r="M44">
        <v>129</v>
      </c>
      <c r="O44" t="s">
        <v>233</v>
      </c>
    </row>
    <row r="45" spans="1:15" ht="15" customHeight="1">
      <c r="A45" t="s">
        <v>234</v>
      </c>
      <c r="B45">
        <v>24</v>
      </c>
      <c r="C45" t="s">
        <v>235</v>
      </c>
      <c r="D45" t="s">
        <v>193</v>
      </c>
      <c r="E45" s="4" t="s">
        <v>236</v>
      </c>
      <c r="F45" t="b">
        <v>0</v>
      </c>
      <c r="H45" s="4" t="s">
        <v>237</v>
      </c>
      <c r="I45">
        <v>0</v>
      </c>
      <c r="J45" s="3">
        <v>45973</v>
      </c>
      <c r="K45" t="s">
        <v>79</v>
      </c>
      <c r="L45">
        <v>0</v>
      </c>
      <c r="M45">
        <v>5</v>
      </c>
      <c r="O45" t="s">
        <v>79</v>
      </c>
    </row>
    <row r="46" spans="1:15" ht="15" customHeight="1">
      <c r="A46" t="s">
        <v>238</v>
      </c>
      <c r="B46">
        <v>77</v>
      </c>
      <c r="C46" t="s">
        <v>239</v>
      </c>
      <c r="D46" t="s">
        <v>44</v>
      </c>
      <c r="E46" s="4" t="s">
        <v>236</v>
      </c>
      <c r="F46" t="b">
        <v>0</v>
      </c>
      <c r="H46" s="4" t="s">
        <v>237</v>
      </c>
      <c r="I46">
        <v>0</v>
      </c>
      <c r="J46" s="3">
        <v>45973</v>
      </c>
      <c r="K46" t="s">
        <v>79</v>
      </c>
      <c r="L46">
        <v>77</v>
      </c>
      <c r="M46">
        <v>72</v>
      </c>
      <c r="O46" t="s">
        <v>79</v>
      </c>
    </row>
    <row r="47" spans="1:15" ht="15" customHeight="1">
      <c r="A47" t="s">
        <v>240</v>
      </c>
      <c r="B47">
        <v>37</v>
      </c>
      <c r="C47" t="s">
        <v>241</v>
      </c>
      <c r="D47" t="s">
        <v>242</v>
      </c>
      <c r="E47" s="4" t="s">
        <v>236</v>
      </c>
      <c r="F47" t="b">
        <v>0</v>
      </c>
      <c r="H47" s="4" t="s">
        <v>237</v>
      </c>
      <c r="I47">
        <v>0</v>
      </c>
      <c r="J47" s="3">
        <v>45973</v>
      </c>
      <c r="K47" t="s">
        <v>79</v>
      </c>
      <c r="L47">
        <v>13</v>
      </c>
      <c r="M47">
        <v>17</v>
      </c>
      <c r="O47" t="s">
        <v>79</v>
      </c>
    </row>
    <row r="48" spans="1:15">
      <c r="A48" t="s">
        <v>243</v>
      </c>
      <c r="B48">
        <v>971</v>
      </c>
      <c r="C48" t="s">
        <v>244</v>
      </c>
      <c r="D48" t="s">
        <v>18</v>
      </c>
      <c r="E48" s="9" t="s">
        <v>67</v>
      </c>
      <c r="F48" t="b">
        <v>0</v>
      </c>
      <c r="G48" s="2" t="s">
        <v>20</v>
      </c>
      <c r="H48" t="s">
        <v>21</v>
      </c>
      <c r="I48">
        <v>2</v>
      </c>
      <c r="J48" s="3">
        <v>45994</v>
      </c>
      <c r="K48" s="2" t="s">
        <v>245</v>
      </c>
      <c r="L48">
        <v>0</v>
      </c>
      <c r="M48">
        <v>0</v>
      </c>
      <c r="O48" t="s">
        <v>246</v>
      </c>
    </row>
    <row r="49" spans="1:15">
      <c r="A49" t="s">
        <v>247</v>
      </c>
      <c r="B49">
        <v>343</v>
      </c>
      <c r="C49" t="s">
        <v>248</v>
      </c>
      <c r="D49" t="s">
        <v>18</v>
      </c>
      <c r="E49" s="9" t="s">
        <v>249</v>
      </c>
      <c r="F49" t="b">
        <v>0</v>
      </c>
      <c r="G49" s="2" t="s">
        <v>20</v>
      </c>
      <c r="H49" t="s">
        <v>21</v>
      </c>
      <c r="I49">
        <v>1</v>
      </c>
      <c r="J49" s="3">
        <v>45994</v>
      </c>
      <c r="K49" s="2" t="s">
        <v>250</v>
      </c>
      <c r="L49">
        <v>0</v>
      </c>
      <c r="M49">
        <v>0</v>
      </c>
      <c r="O49" t="s">
        <v>251</v>
      </c>
    </row>
    <row r="50" spans="1:15">
      <c r="A50" t="s">
        <v>252</v>
      </c>
      <c r="B50">
        <v>279</v>
      </c>
      <c r="C50" t="s">
        <v>253</v>
      </c>
      <c r="D50" t="s">
        <v>18</v>
      </c>
      <c r="E50" s="9" t="s">
        <v>174</v>
      </c>
      <c r="F50" t="b">
        <v>0</v>
      </c>
      <c r="G50" s="2" t="s">
        <v>20</v>
      </c>
      <c r="H50" t="s">
        <v>21</v>
      </c>
      <c r="I50">
        <v>2</v>
      </c>
      <c r="J50" s="3">
        <v>45994</v>
      </c>
      <c r="K50" s="2" t="s">
        <v>254</v>
      </c>
      <c r="L50">
        <v>0</v>
      </c>
      <c r="M50">
        <v>0</v>
      </c>
      <c r="O50" t="s">
        <v>255</v>
      </c>
    </row>
    <row r="51" spans="1:15" ht="15.6">
      <c r="A51" t="s">
        <v>256</v>
      </c>
      <c r="B51">
        <v>195</v>
      </c>
      <c r="C51" t="s">
        <v>257</v>
      </c>
      <c r="D51" t="s">
        <v>18</v>
      </c>
      <c r="E51" s="4" t="s">
        <v>258</v>
      </c>
      <c r="F51" t="b">
        <v>0</v>
      </c>
      <c r="H51" t="s">
        <v>86</v>
      </c>
      <c r="I51" t="s">
        <v>87</v>
      </c>
      <c r="J51" s="3">
        <v>45973</v>
      </c>
      <c r="K51" s="2" t="s">
        <v>259</v>
      </c>
      <c r="L51">
        <v>0</v>
      </c>
      <c r="M51">
        <v>0</v>
      </c>
      <c r="O51" t="s">
        <v>260</v>
      </c>
    </row>
    <row r="52" spans="1:15" ht="15.6">
      <c r="A52" t="s">
        <v>261</v>
      </c>
      <c r="B52">
        <v>419</v>
      </c>
      <c r="C52" t="s">
        <v>262</v>
      </c>
      <c r="D52" t="s">
        <v>18</v>
      </c>
      <c r="E52" s="4" t="s">
        <v>263</v>
      </c>
      <c r="F52" t="b">
        <v>0</v>
      </c>
      <c r="G52" s="2" t="s">
        <v>20</v>
      </c>
      <c r="H52" t="s">
        <v>21</v>
      </c>
      <c r="I52">
        <v>1</v>
      </c>
      <c r="J52" s="3">
        <v>45994</v>
      </c>
      <c r="K52" s="2" t="s">
        <v>264</v>
      </c>
      <c r="L52">
        <v>0</v>
      </c>
      <c r="M52">
        <v>0</v>
      </c>
      <c r="N52" t="s">
        <v>265</v>
      </c>
      <c r="O52" t="s">
        <v>266</v>
      </c>
    </row>
    <row r="53" spans="1:15" ht="15.6">
      <c r="A53" t="s">
        <v>267</v>
      </c>
      <c r="B53">
        <v>228</v>
      </c>
      <c r="C53" t="s">
        <v>268</v>
      </c>
      <c r="D53" t="s">
        <v>18</v>
      </c>
      <c r="E53" s="4" t="s">
        <v>269</v>
      </c>
      <c r="F53" t="b">
        <v>0</v>
      </c>
      <c r="G53" s="2" t="s">
        <v>20</v>
      </c>
      <c r="H53" t="s">
        <v>21</v>
      </c>
      <c r="I53">
        <v>1</v>
      </c>
      <c r="J53" s="3">
        <v>45994</v>
      </c>
      <c r="K53" s="2" t="s">
        <v>270</v>
      </c>
      <c r="L53">
        <v>0</v>
      </c>
      <c r="M53">
        <v>0</v>
      </c>
      <c r="O53" t="s">
        <v>271</v>
      </c>
    </row>
    <row r="54" spans="1:15" ht="15.6">
      <c r="A54" t="s">
        <v>272</v>
      </c>
      <c r="B54">
        <v>130</v>
      </c>
      <c r="C54" t="s">
        <v>273</v>
      </c>
      <c r="D54" t="s">
        <v>18</v>
      </c>
      <c r="E54" s="4" t="s">
        <v>274</v>
      </c>
      <c r="F54" t="b">
        <v>0</v>
      </c>
      <c r="H54" s="6" t="s">
        <v>275</v>
      </c>
      <c r="I54">
        <v>1</v>
      </c>
      <c r="J54" s="3">
        <v>45973</v>
      </c>
      <c r="K54" s="2" t="s">
        <v>276</v>
      </c>
      <c r="L54">
        <v>0</v>
      </c>
      <c r="M54">
        <v>0</v>
      </c>
      <c r="O54" s="2" t="s">
        <v>277</v>
      </c>
    </row>
    <row r="55" spans="1:15" ht="15.6">
      <c r="A55" t="s">
        <v>278</v>
      </c>
      <c r="B55">
        <v>448</v>
      </c>
      <c r="C55" t="s">
        <v>279</v>
      </c>
      <c r="D55" t="s">
        <v>18</v>
      </c>
      <c r="E55" s="4" t="s">
        <v>280</v>
      </c>
      <c r="F55" t="b">
        <v>0</v>
      </c>
      <c r="G55" s="2" t="s">
        <v>20</v>
      </c>
      <c r="H55" t="s">
        <v>21</v>
      </c>
      <c r="I55">
        <v>3</v>
      </c>
      <c r="J55" s="3">
        <v>45973</v>
      </c>
      <c r="K55" s="2" t="s">
        <v>281</v>
      </c>
      <c r="L55">
        <v>0</v>
      </c>
      <c r="M55">
        <v>11</v>
      </c>
      <c r="O55" t="s">
        <v>282</v>
      </c>
    </row>
    <row r="56" spans="1:15" ht="15.6">
      <c r="A56" t="s">
        <v>283</v>
      </c>
      <c r="B56">
        <v>260</v>
      </c>
      <c r="C56" t="s">
        <v>284</v>
      </c>
      <c r="D56" t="s">
        <v>18</v>
      </c>
      <c r="E56" s="4" t="s">
        <v>280</v>
      </c>
      <c r="F56" t="b">
        <v>0</v>
      </c>
      <c r="G56" s="2" t="s">
        <v>20</v>
      </c>
      <c r="H56" t="s">
        <v>21</v>
      </c>
      <c r="I56">
        <v>3</v>
      </c>
      <c r="J56" s="3">
        <v>45973</v>
      </c>
      <c r="K56" s="2" t="s">
        <v>281</v>
      </c>
      <c r="L56">
        <v>0</v>
      </c>
      <c r="M56">
        <v>0</v>
      </c>
      <c r="O56" t="s">
        <v>282</v>
      </c>
    </row>
    <row r="57" spans="1:15" ht="15.6">
      <c r="A57" t="s">
        <v>285</v>
      </c>
      <c r="B57">
        <v>48</v>
      </c>
      <c r="C57" t="s">
        <v>286</v>
      </c>
      <c r="D57" t="s">
        <v>18</v>
      </c>
      <c r="E57" s="4" t="s">
        <v>287</v>
      </c>
      <c r="F57" t="b">
        <v>0</v>
      </c>
      <c r="G57" s="2" t="s">
        <v>20</v>
      </c>
      <c r="H57" t="s">
        <v>21</v>
      </c>
      <c r="I57">
        <v>2</v>
      </c>
      <c r="J57" s="3">
        <v>45973</v>
      </c>
      <c r="K57" s="2" t="s">
        <v>288</v>
      </c>
      <c r="L57">
        <v>0</v>
      </c>
      <c r="M57">
        <v>0</v>
      </c>
      <c r="O57" t="s">
        <v>289</v>
      </c>
    </row>
    <row r="58" spans="1:15" ht="15.6">
      <c r="A58" t="s">
        <v>290</v>
      </c>
      <c r="B58">
        <v>79</v>
      </c>
      <c r="C58" t="s">
        <v>291</v>
      </c>
      <c r="D58" t="s">
        <v>18</v>
      </c>
      <c r="E58" s="4" t="s">
        <v>287</v>
      </c>
      <c r="F58" t="b">
        <v>0</v>
      </c>
      <c r="G58" s="2" t="s">
        <v>20</v>
      </c>
      <c r="H58" t="s">
        <v>21</v>
      </c>
      <c r="I58">
        <v>2</v>
      </c>
      <c r="J58" s="3">
        <v>45973</v>
      </c>
      <c r="K58" s="2" t="s">
        <v>288</v>
      </c>
      <c r="L58">
        <v>0</v>
      </c>
      <c r="M58">
        <v>0</v>
      </c>
      <c r="O58" t="s">
        <v>289</v>
      </c>
    </row>
    <row r="59" spans="1:15" ht="15.6">
      <c r="A59" t="s">
        <v>292</v>
      </c>
      <c r="B59">
        <v>149</v>
      </c>
      <c r="C59" t="s">
        <v>293</v>
      </c>
      <c r="D59" t="s">
        <v>18</v>
      </c>
      <c r="E59" s="4" t="s">
        <v>287</v>
      </c>
      <c r="F59" t="b">
        <v>0</v>
      </c>
      <c r="G59" s="2" t="s">
        <v>20</v>
      </c>
      <c r="H59" t="s">
        <v>21</v>
      </c>
      <c r="I59">
        <v>2</v>
      </c>
      <c r="J59" s="3">
        <v>45973</v>
      </c>
      <c r="K59" s="2" t="s">
        <v>288</v>
      </c>
      <c r="L59">
        <v>0</v>
      </c>
      <c r="M59">
        <v>0</v>
      </c>
      <c r="O59" t="s">
        <v>289</v>
      </c>
    </row>
    <row r="60" spans="1:15">
      <c r="A60" t="s">
        <v>294</v>
      </c>
      <c r="B60">
        <v>3640</v>
      </c>
      <c r="C60" t="s">
        <v>295</v>
      </c>
      <c r="D60" t="s">
        <v>114</v>
      </c>
      <c r="E60" s="9" t="s">
        <v>296</v>
      </c>
      <c r="F60" t="b">
        <v>1</v>
      </c>
      <c r="G60" t="s">
        <v>297</v>
      </c>
      <c r="H60" s="7" t="s">
        <v>47</v>
      </c>
      <c r="I60" t="s">
        <v>87</v>
      </c>
      <c r="J60" s="3">
        <v>45973</v>
      </c>
      <c r="K60" s="2" t="s">
        <v>298</v>
      </c>
      <c r="L60">
        <v>3640</v>
      </c>
      <c r="M60">
        <v>3233</v>
      </c>
      <c r="O60" s="2" t="s">
        <v>299</v>
      </c>
    </row>
    <row r="61" spans="1:15">
      <c r="A61" t="s">
        <v>300</v>
      </c>
      <c r="B61">
        <v>1920</v>
      </c>
      <c r="C61" t="s">
        <v>301</v>
      </c>
      <c r="D61" t="s">
        <v>44</v>
      </c>
      <c r="E61" s="9" t="s">
        <v>302</v>
      </c>
      <c r="F61" t="b">
        <v>1</v>
      </c>
      <c r="G61" t="s">
        <v>297</v>
      </c>
      <c r="H61" s="7" t="s">
        <v>47</v>
      </c>
      <c r="I61" t="s">
        <v>87</v>
      </c>
      <c r="J61" s="3">
        <v>45973</v>
      </c>
      <c r="K61" t="s">
        <v>298</v>
      </c>
      <c r="L61">
        <v>1920</v>
      </c>
      <c r="M61">
        <v>1914</v>
      </c>
      <c r="O61" s="2" t="s">
        <v>299</v>
      </c>
    </row>
    <row r="62" spans="1:15" ht="15.6">
      <c r="A62" t="s">
        <v>303</v>
      </c>
      <c r="B62">
        <v>351</v>
      </c>
      <c r="C62" t="s">
        <v>304</v>
      </c>
      <c r="D62" t="s">
        <v>305</v>
      </c>
      <c r="E62" s="4" t="s">
        <v>306</v>
      </c>
      <c r="F62" t="b">
        <v>1</v>
      </c>
      <c r="G62" t="s">
        <v>297</v>
      </c>
      <c r="H62" s="7" t="s">
        <v>47</v>
      </c>
      <c r="I62" t="s">
        <v>87</v>
      </c>
      <c r="J62" s="3">
        <v>45973</v>
      </c>
      <c r="K62" t="s">
        <v>298</v>
      </c>
      <c r="L62">
        <v>351</v>
      </c>
      <c r="M62">
        <v>351</v>
      </c>
      <c r="O62" s="2" t="s">
        <v>299</v>
      </c>
    </row>
    <row r="63" spans="1:15">
      <c r="A63" t="s">
        <v>307</v>
      </c>
      <c r="B63">
        <v>4079</v>
      </c>
      <c r="C63" t="s">
        <v>308</v>
      </c>
      <c r="D63" t="s">
        <v>18</v>
      </c>
      <c r="E63" s="9" t="s">
        <v>309</v>
      </c>
      <c r="F63" t="b">
        <v>1</v>
      </c>
      <c r="G63" s="2" t="s">
        <v>20</v>
      </c>
      <c r="H63" t="s">
        <v>21</v>
      </c>
      <c r="I63">
        <v>2</v>
      </c>
      <c r="J63" s="3">
        <v>45994</v>
      </c>
      <c r="K63" s="2" t="s">
        <v>310</v>
      </c>
      <c r="L63">
        <v>0</v>
      </c>
      <c r="M63">
        <v>0</v>
      </c>
      <c r="O63" t="s">
        <v>311</v>
      </c>
    </row>
    <row r="64" spans="1:15">
      <c r="A64" t="s">
        <v>312</v>
      </c>
      <c r="B64">
        <v>6604</v>
      </c>
      <c r="C64" t="s">
        <v>313</v>
      </c>
      <c r="D64" t="s">
        <v>18</v>
      </c>
      <c r="E64" s="9" t="s">
        <v>314</v>
      </c>
      <c r="F64" t="b">
        <v>0</v>
      </c>
      <c r="H64" t="s">
        <v>86</v>
      </c>
      <c r="I64">
        <v>2</v>
      </c>
      <c r="J64" s="3">
        <v>46003</v>
      </c>
      <c r="K64" s="2" t="s">
        <v>315</v>
      </c>
      <c r="L64">
        <v>0</v>
      </c>
      <c r="M64">
        <v>0</v>
      </c>
      <c r="O64" s="2" t="s">
        <v>316</v>
      </c>
    </row>
    <row r="65" spans="1:15">
      <c r="A65" t="s">
        <v>317</v>
      </c>
      <c r="B65">
        <v>384</v>
      </c>
      <c r="C65" t="s">
        <v>318</v>
      </c>
      <c r="D65" t="s">
        <v>18</v>
      </c>
      <c r="E65" s="9" t="s">
        <v>319</v>
      </c>
      <c r="F65" t="b">
        <v>0</v>
      </c>
      <c r="H65" t="s">
        <v>320</v>
      </c>
      <c r="I65">
        <v>0</v>
      </c>
      <c r="J65" s="3">
        <v>46014</v>
      </c>
      <c r="K65" t="s">
        <v>79</v>
      </c>
      <c r="L65">
        <v>0</v>
      </c>
      <c r="M65">
        <v>0</v>
      </c>
      <c r="O65" t="s">
        <v>79</v>
      </c>
    </row>
    <row r="66" spans="1:15">
      <c r="A66" t="s">
        <v>321</v>
      </c>
      <c r="B66">
        <v>247</v>
      </c>
      <c r="C66" t="s">
        <v>322</v>
      </c>
      <c r="D66" t="s">
        <v>18</v>
      </c>
      <c r="E66" s="9" t="s">
        <v>323</v>
      </c>
      <c r="F66" t="b">
        <v>0</v>
      </c>
      <c r="H66" s="6" t="s">
        <v>324</v>
      </c>
      <c r="I66">
        <v>2</v>
      </c>
      <c r="J66" s="3">
        <v>46014</v>
      </c>
      <c r="K66" s="2" t="s">
        <v>325</v>
      </c>
      <c r="L66">
        <v>0</v>
      </c>
      <c r="M66">
        <v>0</v>
      </c>
      <c r="O66" s="2" t="s">
        <v>326</v>
      </c>
    </row>
    <row r="67" spans="1:15">
      <c r="A67" t="s">
        <v>327</v>
      </c>
      <c r="B67">
        <v>4</v>
      </c>
      <c r="C67" t="s">
        <v>328</v>
      </c>
      <c r="D67" t="s">
        <v>18</v>
      </c>
      <c r="E67" s="9" t="s">
        <v>323</v>
      </c>
      <c r="F67" t="b">
        <v>0</v>
      </c>
      <c r="H67" s="6" t="s">
        <v>324</v>
      </c>
      <c r="I67">
        <v>1</v>
      </c>
      <c r="J67" s="3">
        <v>46014</v>
      </c>
      <c r="K67" t="s">
        <v>329</v>
      </c>
      <c r="L67">
        <v>0</v>
      </c>
      <c r="M67">
        <v>0</v>
      </c>
      <c r="O67" s="2" t="s">
        <v>330</v>
      </c>
    </row>
    <row r="68" spans="1:15">
      <c r="A68" t="s">
        <v>331</v>
      </c>
      <c r="B68">
        <v>172</v>
      </c>
      <c r="C68" t="s">
        <v>332</v>
      </c>
      <c r="D68" t="s">
        <v>18</v>
      </c>
      <c r="E68" s="9" t="s">
        <v>323</v>
      </c>
      <c r="F68" t="b">
        <v>0</v>
      </c>
      <c r="H68" s="6" t="s">
        <v>324</v>
      </c>
      <c r="I68">
        <v>1</v>
      </c>
      <c r="J68" s="3">
        <v>46014</v>
      </c>
      <c r="K68" t="s">
        <v>333</v>
      </c>
      <c r="L68">
        <v>0</v>
      </c>
      <c r="M68">
        <v>0</v>
      </c>
      <c r="O68" s="2" t="s">
        <v>334</v>
      </c>
    </row>
    <row r="69" spans="1:15">
      <c r="A69" t="s">
        <v>335</v>
      </c>
      <c r="B69">
        <v>84</v>
      </c>
      <c r="C69" t="s">
        <v>336</v>
      </c>
      <c r="D69" t="s">
        <v>18</v>
      </c>
      <c r="E69" s="9" t="s">
        <v>323</v>
      </c>
      <c r="F69" t="b">
        <v>0</v>
      </c>
      <c r="H69" s="6" t="s">
        <v>324</v>
      </c>
      <c r="I69">
        <v>1</v>
      </c>
      <c r="J69" s="3">
        <v>46014</v>
      </c>
      <c r="K69" t="s">
        <v>337</v>
      </c>
      <c r="L69">
        <v>0</v>
      </c>
      <c r="M69">
        <v>0</v>
      </c>
      <c r="O69" s="2" t="s">
        <v>338</v>
      </c>
    </row>
    <row r="70" spans="1:15">
      <c r="A70" t="s">
        <v>339</v>
      </c>
      <c r="B70">
        <v>172</v>
      </c>
      <c r="C70" t="s">
        <v>340</v>
      </c>
      <c r="D70" t="s">
        <v>18</v>
      </c>
      <c r="E70" s="9" t="s">
        <v>323</v>
      </c>
      <c r="F70" t="b">
        <v>0</v>
      </c>
      <c r="H70" s="6" t="s">
        <v>324</v>
      </c>
      <c r="I70">
        <v>2</v>
      </c>
      <c r="J70" s="3">
        <v>46014</v>
      </c>
      <c r="K70" t="s">
        <v>341</v>
      </c>
      <c r="L70">
        <v>0</v>
      </c>
      <c r="M70">
        <v>0</v>
      </c>
      <c r="O70" s="2" t="s">
        <v>342</v>
      </c>
    </row>
    <row r="71" spans="1:15">
      <c r="A71" t="s">
        <v>343</v>
      </c>
      <c r="B71">
        <v>50</v>
      </c>
      <c r="C71" t="s">
        <v>344</v>
      </c>
      <c r="D71" t="s">
        <v>18</v>
      </c>
      <c r="E71" s="9" t="s">
        <v>323</v>
      </c>
      <c r="F71" t="b">
        <v>0</v>
      </c>
      <c r="H71" s="6" t="s">
        <v>324</v>
      </c>
      <c r="I71">
        <v>1</v>
      </c>
      <c r="J71" s="3">
        <v>46014</v>
      </c>
      <c r="K71" t="s">
        <v>345</v>
      </c>
      <c r="L71">
        <v>0</v>
      </c>
      <c r="M71">
        <v>0</v>
      </c>
      <c r="O71" s="2" t="s">
        <v>346</v>
      </c>
    </row>
    <row r="72" spans="1:15">
      <c r="A72" t="s">
        <v>347</v>
      </c>
      <c r="B72">
        <v>92</v>
      </c>
      <c r="C72" t="s">
        <v>348</v>
      </c>
      <c r="D72" t="s">
        <v>18</v>
      </c>
      <c r="E72" s="9" t="s">
        <v>323</v>
      </c>
      <c r="F72" t="b">
        <v>0</v>
      </c>
      <c r="H72" s="6" t="s">
        <v>324</v>
      </c>
      <c r="I72">
        <v>1</v>
      </c>
      <c r="J72" s="3">
        <v>46014</v>
      </c>
      <c r="K72" t="s">
        <v>349</v>
      </c>
      <c r="L72">
        <v>0</v>
      </c>
      <c r="M72">
        <v>0</v>
      </c>
      <c r="O72" s="2" t="s">
        <v>350</v>
      </c>
    </row>
    <row r="73" spans="1:15">
      <c r="A73" t="s">
        <v>351</v>
      </c>
      <c r="B73">
        <v>154</v>
      </c>
      <c r="C73" t="s">
        <v>352</v>
      </c>
      <c r="D73" t="s">
        <v>18</v>
      </c>
      <c r="E73" s="9" t="s">
        <v>323</v>
      </c>
      <c r="F73" t="b">
        <v>0</v>
      </c>
      <c r="H73" s="6" t="s">
        <v>324</v>
      </c>
      <c r="I73">
        <v>3</v>
      </c>
      <c r="J73" s="3">
        <v>46014</v>
      </c>
      <c r="K73" t="s">
        <v>353</v>
      </c>
      <c r="L73">
        <v>0</v>
      </c>
      <c r="M73">
        <v>0</v>
      </c>
      <c r="O73" s="2" t="s">
        <v>354</v>
      </c>
    </row>
    <row r="74" spans="1:15">
      <c r="A74" t="s">
        <v>355</v>
      </c>
      <c r="B74">
        <v>239</v>
      </c>
      <c r="C74" t="s">
        <v>356</v>
      </c>
      <c r="D74" t="s">
        <v>18</v>
      </c>
      <c r="E74" s="9" t="s">
        <v>323</v>
      </c>
      <c r="F74" t="b">
        <v>0</v>
      </c>
      <c r="H74" s="6" t="s">
        <v>324</v>
      </c>
      <c r="I74">
        <v>1</v>
      </c>
      <c r="J74" s="3">
        <v>46014</v>
      </c>
      <c r="K74" t="s">
        <v>357</v>
      </c>
      <c r="L74">
        <v>0</v>
      </c>
      <c r="M74">
        <v>0</v>
      </c>
      <c r="O74" s="2" t="s">
        <v>358</v>
      </c>
    </row>
    <row r="75" spans="1:15">
      <c r="A75" t="s">
        <v>359</v>
      </c>
      <c r="B75">
        <v>173</v>
      </c>
      <c r="C75" t="s">
        <v>360</v>
      </c>
      <c r="D75" t="s">
        <v>18</v>
      </c>
      <c r="E75" s="9" t="s">
        <v>323</v>
      </c>
      <c r="F75" t="b">
        <v>0</v>
      </c>
      <c r="H75" s="6" t="s">
        <v>324</v>
      </c>
      <c r="I75">
        <v>1</v>
      </c>
      <c r="J75" s="3">
        <v>46014</v>
      </c>
      <c r="K75" t="s">
        <v>361</v>
      </c>
      <c r="L75">
        <v>0</v>
      </c>
      <c r="M75">
        <v>0</v>
      </c>
      <c r="O75" s="2" t="s">
        <v>362</v>
      </c>
    </row>
  </sheetData>
  <hyperlinks>
    <hyperlink ref="K43" r:id="rId1" xr:uid="{3AD7E27C-65D1-4D82-994A-4FA510051686}"/>
    <hyperlink ref="K10" r:id="rId2" xr:uid="{2C741B4C-7A85-41D1-B70D-B3A2F4F3969A}"/>
    <hyperlink ref="K9" r:id="rId3" xr:uid="{DBBE0FB8-FC88-4487-B78C-CE0820C61B55}"/>
    <hyperlink ref="K2" r:id="rId4" xr:uid="{89604BB5-1F3D-44B9-9AB2-137CA1A1E664}"/>
    <hyperlink ref="K3" r:id="rId5" xr:uid="{8D0A7A6A-5236-4531-867F-C0F47B6A1E2F}"/>
    <hyperlink ref="K4" r:id="rId6" xr:uid="{9CCAEA29-E12D-4506-8270-A36EC683F663}"/>
    <hyperlink ref="K8" r:id="rId7" xr:uid="{244BA3E7-8541-45A3-B69F-4131E652E21C}"/>
    <hyperlink ref="K11" r:id="rId8" xr:uid="{25BED1CC-4FD1-4065-A9CF-70CFF047C1E3}"/>
    <hyperlink ref="K21" r:id="rId9" xr:uid="{9990261B-2FC2-4DEA-8A96-1CEBD29D9DEF}"/>
    <hyperlink ref="K22" r:id="rId10" xr:uid="{1992E19C-7F14-456B-ACBF-9214410AFB16}"/>
    <hyperlink ref="K23" r:id="rId11" xr:uid="{E1308CC6-7BA9-4201-B817-7F1109DEE4C2}"/>
    <hyperlink ref="K24" r:id="rId12" xr:uid="{0F956B19-DE78-4EA8-AC97-461C102F3792}"/>
    <hyperlink ref="K26" r:id="rId13" xr:uid="{AFCB155E-9E2E-419C-8495-6179A1CD6E9A}"/>
    <hyperlink ref="K27" r:id="rId14" xr:uid="{5F2B8361-458A-4B38-837E-2E833BE17321}"/>
    <hyperlink ref="K28" r:id="rId15" xr:uid="{BE67F038-BDB6-4668-9AB3-7DA3D3319F71}"/>
    <hyperlink ref="K29" r:id="rId16" xr:uid="{2DE7F9CA-4E42-48FE-AA37-C6C9DAD1585A}"/>
    <hyperlink ref="K32" r:id="rId17" xr:uid="{524B43F2-94A0-4A8A-936B-D799435FA0EC}"/>
    <hyperlink ref="K37" r:id="rId18" xr:uid="{C68FDB65-8A7A-4290-8C6F-2C777C65DBF4}"/>
    <hyperlink ref="K41" r:id="rId19" xr:uid="{D4558DDA-AB09-40AF-888F-BE989E9535B5}"/>
    <hyperlink ref="K25" r:id="rId20" xr:uid="{114D84EF-E85C-413E-8CFC-73C37A2B4BC5}"/>
    <hyperlink ref="K48" r:id="rId21" xr:uid="{59578D92-5C2E-48AE-8E9D-A30B1BFFD283}"/>
    <hyperlink ref="K50" r:id="rId22" xr:uid="{4E6C2529-0FAE-42CB-A854-503EB2C6C5BD}"/>
    <hyperlink ref="K63" r:id="rId23" xr:uid="{D9418E78-93F7-425F-9085-419246AAD54C}"/>
    <hyperlink ref="K6" r:id="rId24" xr:uid="{CEECC3C1-901C-4757-B595-60C6966FE205}"/>
    <hyperlink ref="G25" r:id="rId25" xr:uid="{0689DBC3-6F6C-4D65-88B5-011C6E747581}"/>
    <hyperlink ref="K18" r:id="rId26" xr:uid="{DF114628-C591-4386-813D-4FDDCA827CBE}"/>
    <hyperlink ref="K7" r:id="rId27" xr:uid="{B7D303B3-A3BE-4CB5-963D-186212B21F2D}"/>
    <hyperlink ref="K30" r:id="rId28" xr:uid="{1F5B29B7-77CB-4B5D-9030-3810FB4A5CAF}"/>
    <hyperlink ref="K31" r:id="rId29" xr:uid="{FF9B4F26-742A-4797-AD90-574D42962FF2}"/>
    <hyperlink ref="K33" r:id="rId30" xr:uid="{DCE0B01A-3026-4CB9-B000-760C697B56AB}"/>
    <hyperlink ref="K39" r:id="rId31" xr:uid="{9236F26A-C96C-4C91-B11D-B136BE7AB479}"/>
    <hyperlink ref="K40" r:id="rId32" xr:uid="{004AE3F0-70C6-44B7-9880-30964267DAB5}"/>
    <hyperlink ref="K42" r:id="rId33" xr:uid="{019B5080-E309-4523-8599-A61AA3FAC441}"/>
    <hyperlink ref="K49" r:id="rId34" xr:uid="{949FACDA-4048-4FE7-91BD-38F77ABC18A7}"/>
    <hyperlink ref="K54" r:id="rId35" xr:uid="{DC0D2389-844B-4EF5-BB84-F24C91303B5F}"/>
    <hyperlink ref="K55" r:id="rId36" xr:uid="{BA1278DD-AE51-46C1-A52A-48B7D10E9AD9}"/>
    <hyperlink ref="K5" r:id="rId37" xr:uid="{EB7F688F-7ED7-4032-A4E1-A379EE107FDA}"/>
    <hyperlink ref="O6" r:id="rId38" display="http://www.arcticgreatrivers.org/data" xr:uid="{75B86BD7-42A5-47D6-A945-839190A7FC84}"/>
    <hyperlink ref="K14" r:id="rId39" xr:uid="{4C6C9D5C-15F2-486A-AD9F-8CDD513CC9C4}"/>
    <hyperlink ref="N31" r:id="rId40" xr:uid="{08BA7D9D-2F3C-400C-AF8A-9CC202809F90}"/>
    <hyperlink ref="K34" r:id="rId41" xr:uid="{5B6B8268-C1F7-4AFA-B085-067E33F5D22A}"/>
    <hyperlink ref="K35" r:id="rId42" xr:uid="{DFA6ED6A-F94A-4200-83D9-C7862D6A2D47}"/>
    <hyperlink ref="N35" r:id="rId43" xr:uid="{46082D70-D088-4AF1-B9A9-E4AD8B90EB7F}"/>
    <hyperlink ref="K38" r:id="rId44" xr:uid="{87202791-2329-4F53-B9CC-FE7DE72FBC54}"/>
    <hyperlink ref="K44" r:id="rId45" xr:uid="{637BF40C-D4C0-439F-9966-50DDCEE8E72A}"/>
    <hyperlink ref="K51" r:id="rId46" xr:uid="{00FF9A7C-F0FB-42C3-B633-72E645CC177B}"/>
    <hyperlink ref="K52" r:id="rId47" xr:uid="{0AB7E295-409A-44B8-9AB9-BB15F549678F}"/>
    <hyperlink ref="K53" r:id="rId48" xr:uid="{349FE19F-AE57-415F-BF7D-95973DFFACD8}"/>
    <hyperlink ref="O54" r:id="rId49" display="https://doi.org/10.18739/A23J3932S" xr:uid="{4FCC40AF-1543-4963-8A72-7F5ABD20F22E}"/>
    <hyperlink ref="K56" r:id="rId50" xr:uid="{DAE47B81-4DA5-47DA-B71F-C952050CD20C}"/>
    <hyperlink ref="K57" r:id="rId51" xr:uid="{35F72E7A-592C-4632-89CD-0E1A48E8A6D5}"/>
    <hyperlink ref="K58" r:id="rId52" xr:uid="{9C186DE6-F28E-49EA-BEB3-017F11D0ECE3}"/>
    <hyperlink ref="K59" r:id="rId53" xr:uid="{4A5B4F7E-9BAA-4B60-BD19-D585F86E0201}"/>
    <hyperlink ref="K60" r:id="rId54" xr:uid="{9E986977-12FF-409E-998B-B9D5AB66131C}"/>
    <hyperlink ref="O60" r:id="rId55" display="https://wateriso.utah.edu/waterisotopes/pages/spatial_db/SPATIAL_DB.html?utm_source=chatgpt.com" xr:uid="{80190899-4A4B-45CA-8873-449F01601611}"/>
    <hyperlink ref="O61" r:id="rId56" display="https://wateriso.utah.edu/waterisotopes/pages/spatial_db/SPATIAL_DB.html?utm_source=chatgpt.com" xr:uid="{EC93BFE1-ECE7-472B-9117-816A8ACE56D3}"/>
    <hyperlink ref="O62" r:id="rId57" display="https://wateriso.utah.edu/waterisotopes/pages/spatial_db/SPATIAL_DB.html?utm_source=chatgpt.com" xr:uid="{FF51708B-18FC-4DDC-BE81-63CE84DA786D}"/>
    <hyperlink ref="O64" r:id="rId58" display="https://doi.org/10.18739/A2BZ61952" xr:uid="{190041CB-A7A7-41CD-A0DF-493BA63E36E5}"/>
    <hyperlink ref="K64" r:id="rId59" xr:uid="{CA8734E2-34AF-4ABC-9457-8B2E2669DF99}"/>
    <hyperlink ref="K66" r:id="rId60" xr:uid="{78DD6741-FD27-46D5-91A4-126CA649B3CA}"/>
    <hyperlink ref="O66" r:id="rId61" display="https://doi.org/10.18739/A2JD4PR5B" xr:uid="{A88F2D2A-F0D0-4CD1-9E02-D0B340D11535}"/>
    <hyperlink ref="O67" r:id="rId62" display="https://doi.org/10.18739/A2F47GW53" xr:uid="{5606D2C6-DF24-4350-8040-3B42FF8BEEE2}"/>
    <hyperlink ref="O68" r:id="rId63" display="https://doi.org/10.18739/A2PN8XH4S" xr:uid="{97093079-0478-42FE-9B41-19F310410A40}"/>
    <hyperlink ref="O69" r:id="rId64" display="https://doi.org/10.18739/A2D50G02C" xr:uid="{A38B58DA-47E8-4DCF-A7AD-E56907EEFF0F}"/>
    <hyperlink ref="O70" r:id="rId65" display="https://doi.org/10.18739/A24X54J4C" xr:uid="{3ADC04F5-60FC-4280-9BE6-B67D43C9FFF0}"/>
    <hyperlink ref="O71" r:id="rId66" display="https://doi.org/10.18739/A2XD0R04Q" xr:uid="{06DD62D1-88CB-4668-AB48-7C88C9C0FA3B}"/>
    <hyperlink ref="O72" r:id="rId67" display="https://doi.org/10.18739/A2RF5KH42" xr:uid="{82401BB1-D558-4A95-8982-58964684DEB5}"/>
    <hyperlink ref="O73" r:id="rId68" display="https://doi.org/10.18739/A2CR5ND9N" xr:uid="{DF1F4312-A33D-48E5-866A-9423EABB7469}"/>
    <hyperlink ref="O74" r:id="rId69" display="https://doi.org/10.18739/A2P843X00" xr:uid="{980B95B2-AF5E-4C8C-B6BD-B8D79DC84B90}"/>
    <hyperlink ref="O75" r:id="rId70" display="https://doi.org/10.18739/A23B5W875" xr:uid="{6D8B9E21-4726-4759-8907-45315CE9D2A1}"/>
    <hyperlink ref="G2" r:id="rId71" display="https://www.ncei.noaa.gov/sites/default/files/2023-12/NCEI PD-10-2-02 - Open Data Policy Signed.pdf" xr:uid="{2C7348E5-5A23-4887-86C5-65AB8EACBE4B}"/>
    <hyperlink ref="G3" r:id="rId72" display="https://www.ncei.noaa.gov/sites/default/files/2023-12/NCEI PD-10-2-02 - Open Data Policy Signed.pdf" xr:uid="{395A4446-E47B-42FC-9799-CACA2EF82CD9}"/>
    <hyperlink ref="G4" r:id="rId73" display="https://www.ncei.noaa.gov/sites/default/files/2023-12/NCEI PD-10-2-02 - Open Data Policy Signed.pdf" xr:uid="{7A7B5135-9393-4E9F-81EC-97523DFB55A4}"/>
    <hyperlink ref="G5" r:id="rId74" display="https://www.ncei.noaa.gov/sites/default/files/2023-12/NCEI PD-10-2-02 - Open Data Policy Signed.pdf" xr:uid="{1B3C77E6-946B-49F6-AE8B-DB5FD8F4E48E}"/>
    <hyperlink ref="G7" r:id="rId75" display="https://www.ncei.noaa.gov/sites/default/files/2023-12/NCEI PD-10-2-02 - Open Data Policy Signed.pdf" xr:uid="{606C8344-DA7B-41D0-8B44-3F499BB4CB39}"/>
    <hyperlink ref="G8" r:id="rId76" display="https://www.ncei.noaa.gov/sites/default/files/2023-12/NCEI PD-10-2-02 - Open Data Policy Signed.pdf" xr:uid="{7C404B84-860E-44CF-98B4-562975C1ECEA}"/>
    <hyperlink ref="G9" r:id="rId77" display="https://www.ncei.noaa.gov/sites/default/files/2023-12/NCEI PD-10-2-02 - Open Data Policy Signed.pdf" xr:uid="{92B887BC-6931-4D89-BFB8-D41DC320C6F8}"/>
    <hyperlink ref="G10" r:id="rId78" display="https://www.ncei.noaa.gov/sites/default/files/2023-12/NCEI PD-10-2-02 - Open Data Policy Signed.pdf" xr:uid="{FB68DC89-B378-4342-B723-DFE5175A04ED}"/>
    <hyperlink ref="G11" r:id="rId79" display="https://www.ncei.noaa.gov/sites/default/files/2023-12/NCEI PD-10-2-02 - Open Data Policy Signed.pdf" xr:uid="{806F7AD9-8B3C-49E6-83ED-27F0F2A6E1C4}"/>
    <hyperlink ref="G21" r:id="rId80" display="https://www.ncei.noaa.gov/sites/default/files/2023-12/NCEI PD-10-2-02 - Open Data Policy Signed.pdf" xr:uid="{9F9EA715-863A-4D96-BC10-3DDADE1A624B}"/>
    <hyperlink ref="G22" r:id="rId81" display="https://www.ncei.noaa.gov/sites/default/files/2023-12/NCEI PD-10-2-02 - Open Data Policy Signed.pdf" xr:uid="{9DE2F17C-C67A-4456-8FB4-F8A497127CE0}"/>
    <hyperlink ref="G23" r:id="rId82" display="https://www.ncei.noaa.gov/sites/default/files/2023-12/NCEI PD-10-2-02 - Open Data Policy Signed.pdf" xr:uid="{C28EA4DC-3687-4C88-8E97-1659488B9C21}"/>
    <hyperlink ref="G24" r:id="rId83" display="https://www.ncei.noaa.gov/sites/default/files/2023-12/NCEI PD-10-2-02 - Open Data Policy Signed.pdf" xr:uid="{DC3CD98F-4E14-44E7-B2BE-17EF383E3225}"/>
    <hyperlink ref="G26" r:id="rId84" display="https://www.ncei.noaa.gov/sites/default/files/2023-12/NCEI PD-10-2-02 - Open Data Policy Signed.pdf" xr:uid="{E25CD9FC-29CC-4FD4-A1DA-694634324E67}"/>
    <hyperlink ref="G27" r:id="rId85" display="https://www.ncei.noaa.gov/sites/default/files/2023-12/NCEI PD-10-2-02 - Open Data Policy Signed.pdf" xr:uid="{1A788476-65FF-4018-A929-AA377D47A108}"/>
    <hyperlink ref="G28" r:id="rId86" display="https://www.ncei.noaa.gov/sites/default/files/2023-12/NCEI PD-10-2-02 - Open Data Policy Signed.pdf" xr:uid="{848D1AE5-0D53-4E4C-9CCB-2577DDB90496}"/>
    <hyperlink ref="G29" r:id="rId87" display="https://www.ncei.noaa.gov/sites/default/files/2023-12/NCEI PD-10-2-02 - Open Data Policy Signed.pdf" xr:uid="{631BBFE8-7028-410A-9D12-94B472110600}"/>
    <hyperlink ref="G30" r:id="rId88" display="https://www.ncei.noaa.gov/sites/default/files/2023-12/NCEI PD-10-2-02 - Open Data Policy Signed.pdf" xr:uid="{8FFE23DA-939B-43DC-AE3C-B90E5E0D8842}"/>
    <hyperlink ref="G31" r:id="rId89" display="https://www.ncei.noaa.gov/sites/default/files/2023-12/NCEI PD-10-2-02 - Open Data Policy Signed.pdf" xr:uid="{8F88E17A-E642-4009-982C-2D2EF8CEFC6E}"/>
    <hyperlink ref="G32" r:id="rId90" display="https://www.ncei.noaa.gov/sites/default/files/2023-12/NCEI PD-10-2-02 - Open Data Policy Signed.pdf" xr:uid="{2D52BC31-9671-441E-BC11-AA35E5958E32}"/>
    <hyperlink ref="G33" r:id="rId91" display="https://www.ncei.noaa.gov/sites/default/files/2023-12/NCEI PD-10-2-02 - Open Data Policy Signed.pdf" xr:uid="{B4410C41-34FB-4609-B19E-1D3624EB325E}"/>
    <hyperlink ref="G34" r:id="rId92" display="https://www.ncei.noaa.gov/sites/default/files/2023-12/NCEI PD-10-2-02 - Open Data Policy Signed.pdf" xr:uid="{BC9DA55F-7120-41B8-8F9B-70AF9005E659}"/>
    <hyperlink ref="G37" r:id="rId93" display="https://www.ncei.noaa.gov/sites/default/files/2023-12/NCEI PD-10-2-02 - Open Data Policy Signed.pdf" xr:uid="{1EFD8B18-7F20-4288-ABD8-82FB00E4F941}"/>
    <hyperlink ref="G38" r:id="rId94" display="https://www.ncei.noaa.gov/sites/default/files/2023-12/NCEI PD-10-2-02 - Open Data Policy Signed.pdf" xr:uid="{A3139EA3-1A37-4EBF-8906-D8880C7FDCB0}"/>
    <hyperlink ref="G39" r:id="rId95" display="https://www.ncei.noaa.gov/sites/default/files/2023-12/NCEI PD-10-2-02 - Open Data Policy Signed.pdf" xr:uid="{98696BE4-8882-41F0-91AA-9D1F824D04AD}"/>
    <hyperlink ref="G40" r:id="rId96" display="https://www.ncei.noaa.gov/sites/default/files/2023-12/NCEI PD-10-2-02 - Open Data Policy Signed.pdf" xr:uid="{926AE95E-C560-46EC-B16D-017163D84ADA}"/>
    <hyperlink ref="G41" r:id="rId97" display="https://www.ncei.noaa.gov/sites/default/files/2023-12/NCEI PD-10-2-02 - Open Data Policy Signed.pdf" xr:uid="{33A38489-5C9F-474E-B9B0-33D75457AC02}"/>
    <hyperlink ref="G42" r:id="rId98" display="https://www.ncei.noaa.gov/sites/default/files/2023-12/NCEI PD-10-2-02 - Open Data Policy Signed.pdf" xr:uid="{DE722D16-925E-466C-9970-DF0CF3501439}"/>
    <hyperlink ref="G43" r:id="rId99" display="https://www.ncei.noaa.gov/sites/default/files/2023-12/NCEI PD-10-2-02 - Open Data Policy Signed.pdf" xr:uid="{5F039C3C-52D0-4D4E-A1AF-B2B3AF6D836D}"/>
    <hyperlink ref="G48" r:id="rId100" display="https://www.ncei.noaa.gov/sites/default/files/2023-12/NCEI PD-10-2-02 - Open Data Policy Signed.pdf" xr:uid="{5F2B4F5D-6722-478C-85F7-5AC74EC92EF1}"/>
    <hyperlink ref="G49" r:id="rId101" display="https://www.ncei.noaa.gov/sites/default/files/2023-12/NCEI PD-10-2-02 - Open Data Policy Signed.pdf" xr:uid="{257E613C-3DFE-4159-A997-6C9E1B82118E}"/>
    <hyperlink ref="G50" r:id="rId102" display="https://www.ncei.noaa.gov/sites/default/files/2023-12/NCEI PD-10-2-02 - Open Data Policy Signed.pdf" xr:uid="{6A4CD863-031F-4C3D-A8F0-56343D332139}"/>
    <hyperlink ref="G52" r:id="rId103" display="https://www.ncei.noaa.gov/sites/default/files/2023-12/NCEI PD-10-2-02 - Open Data Policy Signed.pdf" xr:uid="{06352735-6B02-4DD2-86D9-A28D9D62B3C0}"/>
    <hyperlink ref="G53" r:id="rId104" display="https://www.ncei.noaa.gov/sites/default/files/2023-12/NCEI PD-10-2-02 - Open Data Policy Signed.pdf" xr:uid="{2EB17E9D-E00E-43BD-96FC-9A358EA21791}"/>
    <hyperlink ref="G55" r:id="rId105" display="https://www.ncei.noaa.gov/sites/default/files/2023-12/NCEI PD-10-2-02 - Open Data Policy Signed.pdf" xr:uid="{62B0451F-1465-4970-8323-0BDF4227E330}"/>
    <hyperlink ref="G56" r:id="rId106" display="https://www.ncei.noaa.gov/sites/default/files/2023-12/NCEI PD-10-2-02 - Open Data Policy Signed.pdf" xr:uid="{C5217997-20BE-4DD0-B220-0636E066B411}"/>
    <hyperlink ref="G57" r:id="rId107" display="https://www.ncei.noaa.gov/sites/default/files/2023-12/NCEI PD-10-2-02 - Open Data Policy Signed.pdf" xr:uid="{C5C65101-C776-43D4-A2B1-AF8F334A47F9}"/>
    <hyperlink ref="G58" r:id="rId108" display="https://www.ncei.noaa.gov/sites/default/files/2023-12/NCEI PD-10-2-02 - Open Data Policy Signed.pdf" xr:uid="{54BA477B-5E21-47E3-8065-AAA9A737F6AF}"/>
    <hyperlink ref="G59" r:id="rId109" display="https://www.ncei.noaa.gov/sites/default/files/2023-12/NCEI PD-10-2-02 - Open Data Policy Signed.pdf" xr:uid="{92B91223-857D-4128-8E70-AF4CB3B38C2E}"/>
    <hyperlink ref="G63" r:id="rId110" display="https://www.ncei.noaa.gov/sites/default/files/2023-12/NCEI PD-10-2-02 - Open Data Policy Signed.pdf" xr:uid="{CF2C56B1-3466-478A-99BE-7826D31624F0}"/>
  </hyperlinks>
  <pageMargins left="0.75" right="0.75" top="1" bottom="1" header="0.5" footer="0.5"/>
  <pageSetup paperSize="9" orientation="portrait" verticalDpi="0" r:id="rId1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AE494-CF58-464C-BA09-ED9C55975D51}">
  <dimension ref="A1:B14"/>
  <sheetViews>
    <sheetView topLeftCell="A3" workbookViewId="0">
      <selection activeCell="D6" sqref="D6"/>
    </sheetView>
  </sheetViews>
  <sheetFormatPr defaultRowHeight="14.45"/>
  <cols>
    <col min="1" max="1" width="15.42578125" customWidth="1"/>
    <col min="2" max="2" width="21" customWidth="1"/>
  </cols>
  <sheetData>
    <row r="1" spans="1:2">
      <c r="A1" t="s">
        <v>363</v>
      </c>
      <c r="B1" t="s">
        <v>0</v>
      </c>
    </row>
    <row r="2" spans="1:2" ht="28.9">
      <c r="A2" t="s">
        <v>364</v>
      </c>
      <c r="B2" s="13" t="s">
        <v>365</v>
      </c>
    </row>
    <row r="3" spans="1:2">
      <c r="A3" t="s">
        <v>366</v>
      </c>
      <c r="B3" t="s">
        <v>367</v>
      </c>
    </row>
    <row r="4" spans="1:2">
      <c r="A4" t="s">
        <v>368</v>
      </c>
      <c r="B4" s="11" t="s">
        <v>369</v>
      </c>
    </row>
    <row r="5" spans="1:2">
      <c r="A5" t="s">
        <v>370</v>
      </c>
      <c r="B5" t="s">
        <v>371</v>
      </c>
    </row>
    <row r="6" spans="1:2">
      <c r="A6" t="s">
        <v>372</v>
      </c>
      <c r="B6" s="11" t="s">
        <v>373</v>
      </c>
    </row>
    <row r="7" spans="1:2">
      <c r="A7" t="s">
        <v>374</v>
      </c>
      <c r="B7" t="s">
        <v>375</v>
      </c>
    </row>
    <row r="8" spans="1:2">
      <c r="A8" t="s">
        <v>376</v>
      </c>
      <c r="B8" s="3">
        <f ca="1">TODAY()</f>
        <v>46037</v>
      </c>
    </row>
    <row r="9" spans="1:2">
      <c r="A9" t="s">
        <v>377</v>
      </c>
      <c r="B9" t="s">
        <v>378</v>
      </c>
    </row>
    <row r="10" spans="1:2">
      <c r="A10" t="s">
        <v>379</v>
      </c>
      <c r="B10" s="2" t="s">
        <v>380</v>
      </c>
    </row>
    <row r="11" spans="1:2">
      <c r="A11" t="s">
        <v>381</v>
      </c>
      <c r="B11" t="s">
        <v>382</v>
      </c>
    </row>
    <row r="12" spans="1:2">
      <c r="A12" t="s">
        <v>383</v>
      </c>
      <c r="B12" s="12">
        <v>1</v>
      </c>
    </row>
    <row r="13" spans="1:2">
      <c r="A13" t="s">
        <v>384</v>
      </c>
      <c r="B13" t="s">
        <v>385</v>
      </c>
    </row>
    <row r="14" spans="1:2">
      <c r="A14" t="s">
        <v>386</v>
      </c>
      <c r="B14" t="s">
        <v>387</v>
      </c>
    </row>
  </sheetData>
  <hyperlinks>
    <hyperlink ref="B10" r:id="rId1" xr:uid="{E47ECD1E-6E6F-4658-A068-7702376BD409}"/>
    <hyperlink ref="B2" r:id="rId2" xr:uid="{885FECAE-3509-4287-B83F-2D63B5DA016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9B783-9ED9-43F6-A405-B619BC455CD6}">
  <dimension ref="A1:D32"/>
  <sheetViews>
    <sheetView tabSelected="1" topLeftCell="A13" workbookViewId="0">
      <selection activeCell="C28" sqref="C28"/>
    </sheetView>
  </sheetViews>
  <sheetFormatPr defaultRowHeight="14.45"/>
  <cols>
    <col min="1" max="1" width="32.140625" customWidth="1"/>
    <col min="2" max="2" width="22.140625" customWidth="1"/>
    <col min="3" max="3" width="15.85546875" customWidth="1"/>
    <col min="4" max="4" width="19.140625" customWidth="1"/>
  </cols>
  <sheetData>
    <row r="1" spans="1:4">
      <c r="A1" t="s">
        <v>388</v>
      </c>
      <c r="B1" t="s">
        <v>389</v>
      </c>
      <c r="C1" t="s">
        <v>390</v>
      </c>
      <c r="D1" t="s">
        <v>391</v>
      </c>
    </row>
    <row r="2" spans="1:4">
      <c r="A2" s="1" t="s">
        <v>0</v>
      </c>
      <c r="B2" t="s">
        <v>392</v>
      </c>
      <c r="C2" t="s">
        <v>393</v>
      </c>
    </row>
    <row r="3" spans="1:4">
      <c r="A3" s="1" t="s">
        <v>394</v>
      </c>
      <c r="B3" t="s">
        <v>392</v>
      </c>
      <c r="C3" t="s">
        <v>395</v>
      </c>
    </row>
    <row r="4" spans="1:4">
      <c r="A4" s="1" t="s">
        <v>396</v>
      </c>
      <c r="B4" t="s">
        <v>392</v>
      </c>
      <c r="C4" t="s">
        <v>397</v>
      </c>
    </row>
    <row r="5" spans="1:4">
      <c r="A5" s="1" t="s">
        <v>398</v>
      </c>
      <c r="B5" t="s">
        <v>399</v>
      </c>
      <c r="C5" t="s">
        <v>400</v>
      </c>
    </row>
    <row r="6" spans="1:4">
      <c r="A6" s="1" t="s">
        <v>401</v>
      </c>
      <c r="B6" t="s">
        <v>399</v>
      </c>
      <c r="C6" t="s">
        <v>402</v>
      </c>
    </row>
    <row r="7" spans="1:4">
      <c r="A7" s="1" t="s">
        <v>403</v>
      </c>
      <c r="B7" t="s">
        <v>404</v>
      </c>
      <c r="C7" t="s">
        <v>405</v>
      </c>
    </row>
    <row r="8" spans="1:4">
      <c r="A8" s="1" t="s">
        <v>406</v>
      </c>
      <c r="B8" t="s">
        <v>392</v>
      </c>
      <c r="C8" t="s">
        <v>407</v>
      </c>
    </row>
    <row r="9" spans="1:4">
      <c r="A9" s="1" t="s">
        <v>408</v>
      </c>
      <c r="B9" t="s">
        <v>409</v>
      </c>
      <c r="C9" t="s">
        <v>410</v>
      </c>
      <c r="D9" t="s">
        <v>411</v>
      </c>
    </row>
    <row r="10" spans="1:4">
      <c r="A10" s="1" t="s">
        <v>412</v>
      </c>
      <c r="B10" t="s">
        <v>413</v>
      </c>
      <c r="C10" t="s">
        <v>414</v>
      </c>
      <c r="D10" t="s">
        <v>415</v>
      </c>
    </row>
    <row r="11" spans="1:4">
      <c r="A11" s="1" t="s">
        <v>416</v>
      </c>
      <c r="B11" t="s">
        <v>417</v>
      </c>
      <c r="C11" t="s">
        <v>418</v>
      </c>
    </row>
    <row r="12" spans="1:4">
      <c r="A12" s="1" t="s">
        <v>419</v>
      </c>
      <c r="B12" t="s">
        <v>392</v>
      </c>
      <c r="C12" t="s">
        <v>420</v>
      </c>
      <c r="D12" t="s">
        <v>421</v>
      </c>
    </row>
    <row r="13" spans="1:4">
      <c r="A13" s="1" t="s">
        <v>422</v>
      </c>
      <c r="B13" t="s">
        <v>392</v>
      </c>
      <c r="C13" t="s">
        <v>423</v>
      </c>
    </row>
    <row r="14" spans="1:4">
      <c r="A14" s="1" t="s">
        <v>424</v>
      </c>
      <c r="B14" t="s">
        <v>392</v>
      </c>
      <c r="C14" t="s">
        <v>425</v>
      </c>
      <c r="D14" t="s">
        <v>426</v>
      </c>
    </row>
    <row r="15" spans="1:4">
      <c r="A15" s="1" t="s">
        <v>427</v>
      </c>
      <c r="B15" t="s">
        <v>428</v>
      </c>
      <c r="C15" t="s">
        <v>429</v>
      </c>
    </row>
    <row r="16" spans="1:4">
      <c r="A16" s="1" t="s">
        <v>430</v>
      </c>
      <c r="B16" t="s">
        <v>392</v>
      </c>
      <c r="C16" t="s">
        <v>431</v>
      </c>
    </row>
    <row r="17" spans="1:3">
      <c r="A17" s="1" t="s">
        <v>432</v>
      </c>
      <c r="B17" t="s">
        <v>428</v>
      </c>
      <c r="C17" t="s">
        <v>433</v>
      </c>
    </row>
    <row r="18" spans="1:3">
      <c r="A18" s="1" t="s">
        <v>434</v>
      </c>
      <c r="B18" t="s">
        <v>392</v>
      </c>
      <c r="C18" t="s">
        <v>431</v>
      </c>
    </row>
    <row r="19" spans="1:3">
      <c r="A19" s="1" t="s">
        <v>435</v>
      </c>
      <c r="B19" t="s">
        <v>392</v>
      </c>
      <c r="C19" t="s">
        <v>436</v>
      </c>
    </row>
    <row r="20" spans="1:3">
      <c r="A20" s="1" t="s">
        <v>437</v>
      </c>
      <c r="B20" t="s">
        <v>392</v>
      </c>
      <c r="C20" t="s">
        <v>438</v>
      </c>
    </row>
    <row r="21" spans="1:3">
      <c r="A21" s="1" t="s">
        <v>439</v>
      </c>
      <c r="B21" t="s">
        <v>392</v>
      </c>
      <c r="C21" t="s">
        <v>440</v>
      </c>
    </row>
    <row r="22" spans="1:3">
      <c r="A22" s="1" t="s">
        <v>441</v>
      </c>
      <c r="B22" t="s">
        <v>392</v>
      </c>
      <c r="C22" t="s">
        <v>442</v>
      </c>
    </row>
    <row r="23" spans="1:3">
      <c r="A23" s="1" t="s">
        <v>443</v>
      </c>
      <c r="B23" t="s">
        <v>392</v>
      </c>
      <c r="C23" t="s">
        <v>444</v>
      </c>
    </row>
    <row r="24" spans="1:3">
      <c r="A24" s="1" t="s">
        <v>445</v>
      </c>
      <c r="B24" t="s">
        <v>392</v>
      </c>
      <c r="C24" t="s">
        <v>446</v>
      </c>
    </row>
    <row r="25" spans="1:3">
      <c r="A25" s="1" t="s">
        <v>447</v>
      </c>
      <c r="B25" t="s">
        <v>392</v>
      </c>
      <c r="C25" t="s">
        <v>448</v>
      </c>
    </row>
    <row r="26" spans="1:3">
      <c r="A26" s="1" t="s">
        <v>449</v>
      </c>
      <c r="B26" t="s">
        <v>392</v>
      </c>
      <c r="C26" t="s">
        <v>450</v>
      </c>
    </row>
    <row r="27" spans="1:3">
      <c r="A27" s="1" t="s">
        <v>451</v>
      </c>
      <c r="B27" t="s">
        <v>392</v>
      </c>
      <c r="C27" t="s">
        <v>452</v>
      </c>
    </row>
    <row r="28" spans="1:3">
      <c r="A28" s="1" t="s">
        <v>453</v>
      </c>
      <c r="B28" t="s">
        <v>392</v>
      </c>
      <c r="C28" t="s">
        <v>454</v>
      </c>
    </row>
    <row r="29" spans="1:3">
      <c r="A29" s="1" t="s">
        <v>455</v>
      </c>
      <c r="B29" t="s">
        <v>392</v>
      </c>
      <c r="C29" t="s">
        <v>456</v>
      </c>
    </row>
    <row r="30" spans="1:3">
      <c r="A30" s="1" t="s">
        <v>457</v>
      </c>
      <c r="B30" t="s">
        <v>392</v>
      </c>
      <c r="C30" t="s">
        <v>458</v>
      </c>
    </row>
    <row r="31" spans="1:3">
      <c r="A31" s="1" t="s">
        <v>459</v>
      </c>
      <c r="B31" t="s">
        <v>392</v>
      </c>
      <c r="C31" t="s">
        <v>460</v>
      </c>
    </row>
    <row r="32" spans="1:3">
      <c r="A32" s="1" t="s">
        <v>391</v>
      </c>
      <c r="B32" t="s">
        <v>392</v>
      </c>
      <c r="C32" t="s">
        <v>461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8B3C1AFD37B3A4D8EBE9F528417E711" ma:contentTypeVersion="25" ma:contentTypeDescription="Create a new document." ma:contentTypeScope="" ma:versionID="fa392cadeed8b81a8ee812b385d70b03">
  <xsd:schema xmlns:xsd="http://www.w3.org/2001/XMLSchema" xmlns:xs="http://www.w3.org/2001/XMLSchema" xmlns:p="http://schemas.microsoft.com/office/2006/metadata/properties" xmlns:ns2="c009af39-dbd1-4c44-b535-8445dd363a98" xmlns:ns3="6fbf3a30-d310-4b81-9bd7-c5d5ac982835" targetNamespace="http://schemas.microsoft.com/office/2006/metadata/properties" ma:root="true" ma:fieldsID="f63c99333f007adb9d36a7f9e5572de7" ns2:_="" ns3:_="">
    <xsd:import namespace="c009af39-dbd1-4c44-b535-8445dd363a98"/>
    <xsd:import namespace="6fbf3a30-d310-4b81-9bd7-c5d5ac982835"/>
    <xsd:element name="properties">
      <xsd:complexType>
        <xsd:sequence>
          <xsd:element name="documentManagement">
            <xsd:complexType>
              <xsd:all>
                <xsd:element ref="ns2:OwnerofProject" minOccurs="0"/>
                <xsd:element ref="ns2:ProjectNumber" minOccurs="0"/>
                <xsd:element ref="ns2:Funder" minOccurs="0"/>
                <xsd:element ref="ns2:BASLeading" minOccurs="0"/>
                <xsd:element ref="ns2:Currency" minOccurs="0"/>
                <xsd:element ref="ns2:FunderReference" minOccurs="0"/>
                <xsd:element ref="ns2:BASPI" minOccurs="0"/>
                <xsd:element ref="ns2:FinanceContact" minOccurs="0"/>
                <xsd:element ref="ns2:ProjectStatus" minOccurs="0"/>
                <xsd:element ref="ns2:MediaServiceMetadata" minOccurs="0"/>
                <xsd:element ref="ns2:MediaServiceFastMetadata" minOccurs="0"/>
                <xsd:element ref="ns2:MediaServiceSearchProperties" minOccurs="0"/>
                <xsd:element ref="ns2:StartDate" minOccurs="0"/>
                <xsd:element ref="ns2:EndDate" minOccurs="0"/>
                <xsd:element ref="ns2:MediaServiceDateTaken"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Location"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009af39-dbd1-4c44-b535-8445dd363a98" elementFormDefault="qualified">
    <xsd:import namespace="http://schemas.microsoft.com/office/2006/documentManagement/types"/>
    <xsd:import namespace="http://schemas.microsoft.com/office/infopath/2007/PartnerControls"/>
    <xsd:element name="OwnerofProject" ma:index="8" nillable="true" ma:displayName="ReDS Project Owner" ma:format="Dropdown" ma:list="UserInfo" ma:SharePointGroup="0" ma:internalName="OwnerofProject">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ProjectNumber" ma:index="9" nillable="true" ma:displayName="BAS NEB Number" ma:description="Internal reference number - unique to each project" ma:format="Dropdown" ma:internalName="ProjectNumber">
      <xsd:simpleType>
        <xsd:restriction base="dms:Text">
          <xsd:maxLength value="255"/>
        </xsd:restriction>
      </xsd:simpleType>
    </xsd:element>
    <xsd:element name="Funder" ma:index="10" nillable="true" ma:displayName="Funder" ma:format="Dropdown" ma:internalName="Funder">
      <xsd:simpleType>
        <xsd:restriction base="dms:Choice">
          <xsd:enumeration value="NERC - NC"/>
          <xsd:enumeration value="NERC - Large Grant"/>
          <xsd:enumeration value="NERC - Other"/>
          <xsd:enumeration value="EU H2020 - ERC"/>
          <xsd:enumeration value="EU H2020 - MSCA"/>
          <xsd:enumeration value="EU H2020 - General"/>
          <xsd:enumeration value="Innvoate/EU Horizon Europe - Underwrite"/>
          <xsd:enumeration value="EU Horizon Europe - Lump Sum"/>
          <xsd:enumeration value="EU Horizon Europe - General"/>
          <xsd:enumeration value="ARIA"/>
        </xsd:restriction>
      </xsd:simpleType>
    </xsd:element>
    <xsd:element name="BASLeading" ma:index="11" nillable="true" ma:displayName="Lead Institution" ma:default="1" ma:format="Dropdown" ma:internalName="BASLeading">
      <xsd:simpleType>
        <xsd:restriction base="dms:Text">
          <xsd:maxLength value="255"/>
        </xsd:restriction>
      </xsd:simpleType>
    </xsd:element>
    <xsd:element name="Currency" ma:index="12" nillable="true" ma:displayName="Currency" ma:format="Dropdown" ma:internalName="Currency">
      <xsd:simpleType>
        <xsd:restriction base="dms:Choice">
          <xsd:enumeration value="£ GBP"/>
          <xsd:enumeration value="€ EUR"/>
          <xsd:enumeration value="$ USD"/>
        </xsd:restriction>
      </xsd:simpleType>
    </xsd:element>
    <xsd:element name="FunderReference" ma:index="13" nillable="true" ma:displayName="Funder Reference" ma:format="Dropdown" ma:indexed="true" ma:internalName="FunderReference">
      <xsd:simpleType>
        <xsd:restriction base="dms:Text">
          <xsd:maxLength value="255"/>
        </xsd:restriction>
      </xsd:simpleType>
    </xsd:element>
    <xsd:element name="BASPI" ma:index="14" nillable="true" ma:displayName="BAS PI" ma:format="Dropdown" ma:internalName="BASPI">
      <xsd:simpleType>
        <xsd:restriction base="dms:Text">
          <xsd:maxLength value="255"/>
        </xsd:restriction>
      </xsd:simpleType>
    </xsd:element>
    <xsd:element name="FinanceContact" ma:index="15" nillable="true" ma:displayName="Finance Contact" ma:format="Dropdown" ma:list="UserInfo" ma:SharePointGroup="0" ma:internalName="FinanceContact">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ProjectStatus" ma:index="16" nillable="true" ma:displayName="Project Status" ma:format="Dropdown" ma:internalName="ProjectStatus">
      <xsd:simpleType>
        <xsd:restriction base="dms:Choice">
          <xsd:enumeration value="Active"/>
          <xsd:enumeration value="Awarded - Pending Activation"/>
          <xsd:enumeration value="Ended - Pending Close"/>
          <xsd:enumeration value="Archived"/>
        </xsd:restriction>
      </xsd:simpleType>
    </xsd:element>
    <xsd:element name="MediaServiceMetadata" ma:index="17" nillable="true" ma:displayName="MediaServiceMetadata" ma:hidden="true" ma:internalName="MediaServiceMetadata" ma:readOnly="true">
      <xsd:simpleType>
        <xsd:restriction base="dms:Note"/>
      </xsd:simpleType>
    </xsd:element>
    <xsd:element name="MediaServiceFastMetadata" ma:index="18" nillable="true" ma:displayName="MediaServiceFastMetadata" ma:hidden="true" ma:internalName="MediaServiceFastMetadata" ma:readOnly="true">
      <xsd:simpleType>
        <xsd:restriction base="dms:Note"/>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StartDate" ma:index="20" nillable="true" ma:displayName="Start Date" ma:format="DateOnly" ma:internalName="StartDate">
      <xsd:simpleType>
        <xsd:restriction base="dms:DateTime"/>
      </xsd:simpleType>
    </xsd:element>
    <xsd:element name="EndDate" ma:index="21" nillable="true" ma:displayName="End Date" ma:format="DateOnly" ma:internalName="EndDate">
      <xsd:simpleType>
        <xsd:restriction base="dms:DateTim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ab5439e4-fe58-4e0a-aec0-5a31820401dc" ma:termSetId="09814cd3-568e-fe90-9814-8d621ff8fb84" ma:anchorId="fba54fb3-c3e1-fe81-a776-ca4b69148c4d" ma:open="true" ma:isKeyword="false">
      <xsd:complexType>
        <xsd:sequence>
          <xsd:element ref="pc:Terms" minOccurs="0" maxOccurs="1"/>
        </xsd:sequence>
      </xsd:complexType>
    </xsd:element>
    <xsd:element name="MediaServiceGenerationTime" ma:index="26" nillable="true" ma:displayName="MediaServiceGenerationTime" ma:hidden="true" ma:internalName="MediaServiceGenerationTime" ma:readOnly="true">
      <xsd:simpleType>
        <xsd:restriction base="dms:Text"/>
      </xsd:simpleType>
    </xsd:element>
    <xsd:element name="MediaServiceEventHashCode" ma:index="27" nillable="true" ma:displayName="MediaServiceEventHashCode" ma:hidden="true" ma:internalName="MediaServiceEventHashCode" ma:readOnly="true">
      <xsd:simpleType>
        <xsd:restriction base="dms:Text"/>
      </xsd:simpleType>
    </xsd:element>
    <xsd:element name="MediaServiceOCR" ma:index="28" nillable="true" ma:displayName="Extracted Text" ma:internalName="MediaServiceOCR" ma:readOnly="true">
      <xsd:simpleType>
        <xsd:restriction base="dms:Note">
          <xsd:maxLength value="255"/>
        </xsd:restriction>
      </xsd:simpleType>
    </xsd:element>
    <xsd:element name="MediaServiceLocation" ma:index="29" nillable="true" ma:displayName="Location" ma:indexed="true" ma:internalName="MediaServiceLocation" ma:readOnly="true">
      <xsd:simpleType>
        <xsd:restriction base="dms:Text"/>
      </xsd:simpleType>
    </xsd:element>
    <xsd:element name="MediaLengthInSeconds" ma:index="30" nillable="true" ma:displayName="MediaLengthInSeconds" ma:hidden="true" ma:internalName="MediaLengthInSeconds" ma:readOnly="true">
      <xsd:simpleType>
        <xsd:restriction base="dms:Unknown"/>
      </xsd:simpleType>
    </xsd:element>
    <xsd:element name="MediaServiceBillingMetadata" ma:index="3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fbf3a30-d310-4b81-9bd7-c5d5ac982835" elementFormDefault="qualified">
    <xsd:import namespace="http://schemas.microsoft.com/office/2006/documentManagement/types"/>
    <xsd:import namespace="http://schemas.microsoft.com/office/infopath/2007/PartnerControls"/>
    <xsd:element name="TaxCatchAll" ma:index="25" nillable="true" ma:displayName="Taxonomy Catch All Column" ma:hidden="true" ma:list="{00914624-ad48-4f73-b5fc-694edf5e2fbe}" ma:internalName="TaxCatchAll" ma:showField="CatchAllData" ma:web="6fbf3a30-d310-4b81-9bd7-c5d5ac98283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rojectNumber xmlns="c009af39-dbd1-4c44-b535-8445dd363a98" xsi:nil="true"/>
    <FunderReference xmlns="c009af39-dbd1-4c44-b535-8445dd363a98" xsi:nil="true"/>
    <BASPI xmlns="c009af39-dbd1-4c44-b535-8445dd363a98" xsi:nil="true"/>
    <Funder xmlns="c009af39-dbd1-4c44-b535-8445dd363a98" xsi:nil="true"/>
    <StartDate xmlns="c009af39-dbd1-4c44-b535-8445dd363a98" xsi:nil="true"/>
    <Currency xmlns="c009af39-dbd1-4c44-b535-8445dd363a98" xsi:nil="true"/>
    <ProjectStatus xmlns="c009af39-dbd1-4c44-b535-8445dd363a98" xsi:nil="true"/>
    <TaxCatchAll xmlns="6fbf3a30-d310-4b81-9bd7-c5d5ac982835" xsi:nil="true"/>
    <BASLeading xmlns="c009af39-dbd1-4c44-b535-8445dd363a98">1</BASLeading>
    <EndDate xmlns="c009af39-dbd1-4c44-b535-8445dd363a98" xsi:nil="true"/>
    <OwnerofProject xmlns="c009af39-dbd1-4c44-b535-8445dd363a98">
      <UserInfo>
        <DisplayName/>
        <AccountId xsi:nil="true"/>
        <AccountType/>
      </UserInfo>
    </OwnerofProject>
    <FinanceContact xmlns="c009af39-dbd1-4c44-b535-8445dd363a98">
      <UserInfo>
        <DisplayName/>
        <AccountId xsi:nil="true"/>
        <AccountType/>
      </UserInfo>
    </FinanceContact>
    <lcf76f155ced4ddcb4097134ff3c332f xmlns="c009af39-dbd1-4c44-b535-8445dd363a9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F2FBBE7-5730-46EB-BFFD-CBEEC704D165}"/>
</file>

<file path=customXml/itemProps2.xml><?xml version="1.0" encoding="utf-8"?>
<ds:datastoreItem xmlns:ds="http://schemas.openxmlformats.org/officeDocument/2006/customXml" ds:itemID="{134E6AFC-97C3-4DB3-8841-DCD04AF8E80B}"/>
</file>

<file path=customXml/itemProps3.xml><?xml version="1.0" encoding="utf-8"?>
<ds:datastoreItem xmlns:ds="http://schemas.openxmlformats.org/officeDocument/2006/customXml" ds:itemID="{AFE910C0-54C3-4B76-964F-C3A1C41B596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2025-12-05T15:51:09Z</dcterms:created>
  <dcterms:modified xsi:type="dcterms:W3CDTF">2026-01-15T09:53:43Z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0x010100A8B3C1AFD37B3A4D8EBE9F528417E711</vt:lpwstr>
  </property>
  <property fmtid="{D5CDD505-2E9C-101B-9397-08002B2CF9AE}" pid="3" name="MediaServiceImageTags">
    <vt:lpwstr/>
  </property>
</Properties>
</file>